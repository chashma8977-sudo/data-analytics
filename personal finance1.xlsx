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da4caa74dc6cbb2e/Documents/"/>
    </mc:Choice>
  </mc:AlternateContent>
  <xr:revisionPtr revIDLastSave="2" documentId="8_{9EE95BB0-8739-47C7-B24D-215C1D368A17}" xr6:coauthVersionLast="47" xr6:coauthVersionMax="47" xr10:uidLastSave="{E41C498C-DABB-4D06-BF49-77E55D201CF2}"/>
  <bookViews>
    <workbookView xWindow="-110" yWindow="-110" windowWidth="19420" windowHeight="10300" activeTab="3" xr2:uid="{D0E726CE-7BB1-4A42-AF27-2C4F02B7E7A8}"/>
  </bookViews>
  <sheets>
    <sheet name="Detail1" sheetId="5" r:id="rId1"/>
    <sheet name="Sheet3" sheetId="4" r:id="rId2"/>
    <sheet name="Sheet2" sheetId="2" r:id="rId3"/>
    <sheet name="Sheet5" sheetId="7" r:id="rId4"/>
  </sheets>
  <definedNames>
    <definedName name="Slicer_Category">#N/A</definedName>
    <definedName name="Slicer_Discription">#N/A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2" l="1"/>
  <c r="H23" i="2"/>
  <c r="H19" i="2"/>
  <c r="H15" i="2"/>
  <c r="H11" i="2"/>
  <c r="H6" i="2"/>
</calcChain>
</file>

<file path=xl/sharedStrings.xml><?xml version="1.0" encoding="utf-8"?>
<sst xmlns="http://schemas.openxmlformats.org/spreadsheetml/2006/main" count="272" uniqueCount="60">
  <si>
    <t>Date</t>
  </si>
  <si>
    <t>Month</t>
  </si>
  <si>
    <t>Category</t>
  </si>
  <si>
    <t>Discription</t>
  </si>
  <si>
    <t>Actual amount</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</si>
  <si>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</si>
  <si>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</si>
  <si>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</si>
  <si>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</si>
  <si>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</si>
  <si>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</si>
  <si>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</si>
  <si>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</si>
  <si>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</si>
  <si>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</si>
  <si>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</si>
  <si>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</si>
  <si>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</si>
  <si>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</si>
  <si>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</si>
  <si>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</si>
  <si>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</si>
  <si>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</si>
  <si>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</si>
  <si>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</si>
  <si>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</si>
  <si>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</si>
  <si>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</si>
  <si>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</si>
  <si>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</si>
  <si>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</si>
  <si>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</si>
  <si>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</si>
  <si>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</si>
  <si>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</si>
  <si>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</si>
  <si>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</si>
  <si>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</si>
  <si>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</si>
  <si>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</si>
  <si>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</si>
  <si>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</si>
  <si>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</si>
  <si>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</si>
  <si>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Jan</t>
  </si>
  <si>
    <t>Feb</t>
  </si>
  <si>
    <t>Mar</t>
  </si>
  <si>
    <t>Apr</t>
  </si>
  <si>
    <t>Jun</t>
  </si>
  <si>
    <t>Jul</t>
  </si>
  <si>
    <t>Aug</t>
  </si>
  <si>
    <t>Sep</t>
  </si>
  <si>
    <t>Oct</t>
  </si>
  <si>
    <t>Nov</t>
  </si>
  <si>
    <t>Dec</t>
  </si>
  <si>
    <t>Count of Month</t>
  </si>
  <si>
    <t>Count of Category</t>
  </si>
  <si>
    <t>Count of Discription</t>
  </si>
  <si>
    <t>Sum of Actual amount</t>
  </si>
  <si>
    <t>Details for Sum of Actual amount - Months (Date): 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</si>
</sst>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sz val="11"/>
      <color theme="4" tint="-0.249977111117893"/>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bottom>
      <diagonal/>
    </border>
  </borders>
  <cellStyleXfs count="1">
    <xf numFmtId="0" fontId="0" fillId="0" borderId="0"/>
  </cellStyleXfs>
  <cellXfs count="16">
    <xf numFmtId="0" fontId="0" fillId="0" borderId="0" xfId="0"/>
    <xf numFmtId="0" fontId="2" fillId="2" borderId="0" xfId="0" applyFont="1" applyFill="1"/>
    <xf numFmtId="0" fontId="1" fillId="2" borderId="0" xfId="0" applyFont="1" applyFill="1"/>
    <xf numFmtId="0" fontId="1" fillId="2" borderId="0" xfId="0" applyFont="1" applyFill="1" applyAlignment="1">
      <alignment vertical="center"/>
    </xf>
    <xf numFmtId="0" fontId="0" fillId="3" borderId="0" xfId="0" applyFill="1"/>
    <xf numFmtId="0" fontId="0" fillId="2" borderId="0" xfId="0" applyFill="1"/>
    <xf numFmtId="0" fontId="3" fillId="4" borderId="0" xfId="0" applyFont="1" applyFill="1"/>
    <xf numFmtId="0" fontId="3" fillId="0" borderId="0" xfId="0" applyFont="1"/>
    <xf numFmtId="0" fontId="3" fillId="0" borderId="1" xfId="0" applyFont="1" applyBorder="1"/>
    <xf numFmtId="14" fontId="3" fillId="4" borderId="0" xfId="0" applyNumberFormat="1" applyFont="1" applyFill="1"/>
    <xf numFmtId="14" fontId="3" fillId="0" borderId="0" xfId="0" applyNumberFormat="1" applyFont="1"/>
    <xf numFmtId="14" fontId="3" fillId="0" borderId="1" xfId="0" applyNumberFormat="1" applyFont="1" applyBorder="1"/>
    <xf numFmtId="0" fontId="0" fillId="0" borderId="0" xfId="0" pivotButton="1"/>
    <xf numFmtId="0" fontId="0" fillId="0" borderId="0" xfId="0" applyAlignment="1">
      <alignment horizontal="left"/>
    </xf>
    <xf numFmtId="14" fontId="0" fillId="0" borderId="0" xfId="0" applyNumberFormat="1"/>
    <xf numFmtId="0" fontId="1" fillId="0" borderId="0" xfId="0" applyFon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finance1.xlsx]Sheet3!PivotTable1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00-588E-444E-9DFD-3B087782B97F}"/>
            </c:ext>
          </c:extLst>
        </c:ser>
        <c:dLbls>
          <c:dLblPos val="ctr"/>
          <c:showLegendKey val="0"/>
          <c:showVal val="1"/>
          <c:showCatName val="0"/>
          <c:showSerName val="0"/>
          <c:showPercent val="0"/>
          <c:showBubbleSize val="0"/>
        </c:dLbls>
        <c:gapWidth val="150"/>
        <c:overlap val="100"/>
        <c:axId val="48430991"/>
        <c:axId val="48432911"/>
      </c:barChart>
      <c:catAx>
        <c:axId val="4843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2911"/>
        <c:crosses val="autoZero"/>
        <c:auto val="1"/>
        <c:lblAlgn val="ctr"/>
        <c:lblOffset val="100"/>
        <c:noMultiLvlLbl val="0"/>
      </c:catAx>
      <c:valAx>
        <c:axId val="48432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finance1.xlsx]Sheet3!PivotTable3</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Sheet3!$E$3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0C-45A4-9889-5932D679B4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0C-45A4-9889-5932D679B4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0C-45A4-9889-5932D679B4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0C-45A4-9889-5932D679B48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80C-45A4-9889-5932D679B48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80C-45A4-9889-5932D679B48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80C-45A4-9889-5932D679B48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80C-45A4-9889-5932D679B48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80C-45A4-9889-5932D679B48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80C-45A4-9889-5932D679B48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80C-45A4-9889-5932D679B48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80C-45A4-9889-5932D679B4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Sheet3!$E$4:$E$16</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00-E1CF-4269-A206-7D8B9D0E2C5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finance1.xlsx]Sheet3!PivotTable4</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Sheet3!$H$4</c:f>
              <c:strCache>
                <c:ptCount val="1"/>
                <c:pt idx="0">
                  <c:v>Total</c:v>
                </c:pt>
              </c:strCache>
            </c:strRef>
          </c:tx>
          <c:spPr>
            <a:solidFill>
              <a:schemeClr val="accent1"/>
            </a:solidFill>
            <a:ln>
              <a:noFill/>
            </a:ln>
            <a:effectLst/>
            <a:sp3d/>
          </c:spPr>
          <c:invertIfNegative val="0"/>
          <c:cat>
            <c:strRef>
              <c:f>Sheet3!$G$5:$G$17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Sheet3!$H$5:$H$17</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00-FD88-4ED0-8288-33177955FC8A}"/>
            </c:ext>
          </c:extLst>
        </c:ser>
        <c:dLbls>
          <c:showLegendKey val="0"/>
          <c:showVal val="0"/>
          <c:showCatName val="0"/>
          <c:showSerName val="0"/>
          <c:showPercent val="0"/>
          <c:showBubbleSize val="0"/>
        </c:dLbls>
        <c:gapWidth val="150"/>
        <c:shape val="box"/>
        <c:axId val="48426671"/>
        <c:axId val="48421391"/>
        <c:axId val="0"/>
      </c:bar3DChart>
      <c:catAx>
        <c:axId val="48426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1391"/>
        <c:crosses val="autoZero"/>
        <c:auto val="1"/>
        <c:lblAlgn val="ctr"/>
        <c:lblOffset val="100"/>
        <c:noMultiLvlLbl val="0"/>
      </c:catAx>
      <c:valAx>
        <c:axId val="48421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finance1.xlsx]Sheet3!PivotTable1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00-5E4A-4D81-9645-7C40CA6F3050}"/>
            </c:ext>
          </c:extLst>
        </c:ser>
        <c:dLbls>
          <c:dLblPos val="ctr"/>
          <c:showLegendKey val="0"/>
          <c:showVal val="1"/>
          <c:showCatName val="0"/>
          <c:showSerName val="0"/>
          <c:showPercent val="0"/>
          <c:showBubbleSize val="0"/>
        </c:dLbls>
        <c:gapWidth val="150"/>
        <c:overlap val="100"/>
        <c:axId val="48430991"/>
        <c:axId val="48432911"/>
      </c:barChart>
      <c:catAx>
        <c:axId val="4843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2911"/>
        <c:crosses val="autoZero"/>
        <c:auto val="1"/>
        <c:lblAlgn val="ctr"/>
        <c:lblOffset val="100"/>
        <c:noMultiLvlLbl val="0"/>
      </c:catAx>
      <c:valAx>
        <c:axId val="48432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finance1.xlsx]Sheet3!PivotTable3</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doughnutChart>
        <c:varyColors val="1"/>
        <c:ser>
          <c:idx val="0"/>
          <c:order val="0"/>
          <c:tx>
            <c:strRef>
              <c:f>Sheet3!$E$3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94-4EF3-B79E-5238220ED0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94-4EF3-B79E-5238220ED0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94-4EF3-B79E-5238220ED0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94-4EF3-B79E-5238220ED0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94-4EF3-B79E-5238220ED0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094-4EF3-B79E-5238220ED0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094-4EF3-B79E-5238220ED0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094-4EF3-B79E-5238220ED0E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094-4EF3-B79E-5238220ED0E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094-4EF3-B79E-5238220ED0E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094-4EF3-B79E-5238220ED0E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094-4EF3-B79E-5238220ED0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Sheet3!$E$4:$E$16</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18-8094-4EF3-B79E-5238220ED0E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finance1.xlsx]Sheet3!PivotTable4</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Sheet3!$H$4</c:f>
              <c:strCache>
                <c:ptCount val="1"/>
                <c:pt idx="0">
                  <c:v>Total</c:v>
                </c:pt>
              </c:strCache>
            </c:strRef>
          </c:tx>
          <c:spPr>
            <a:solidFill>
              <a:schemeClr val="accent1"/>
            </a:solidFill>
            <a:ln>
              <a:noFill/>
            </a:ln>
            <a:effectLst/>
            <a:sp3d/>
          </c:spPr>
          <c:invertIfNegative val="0"/>
          <c:cat>
            <c:strRef>
              <c:f>Sheet3!$G$5:$G$17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Sheet3!$H$5:$H$17</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00-99A4-4225-B5B5-EA87B57883E5}"/>
            </c:ext>
          </c:extLst>
        </c:ser>
        <c:dLbls>
          <c:showLegendKey val="0"/>
          <c:showVal val="0"/>
          <c:showCatName val="0"/>
          <c:showSerName val="0"/>
          <c:showPercent val="0"/>
          <c:showBubbleSize val="0"/>
        </c:dLbls>
        <c:gapWidth val="150"/>
        <c:shape val="box"/>
        <c:axId val="48426671"/>
        <c:axId val="48421391"/>
        <c:axId val="0"/>
      </c:bar3DChart>
      <c:catAx>
        <c:axId val="48426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1391"/>
        <c:crosses val="autoZero"/>
        <c:auto val="1"/>
        <c:lblAlgn val="ctr"/>
        <c:lblOffset val="100"/>
        <c:noMultiLvlLbl val="0"/>
      </c:catAx>
      <c:valAx>
        <c:axId val="48421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6.xml"/><Relationship Id="rId7" Type="http://schemas.openxmlformats.org/officeDocument/2006/relationships/image" Target="../media/image4.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94776</xdr:colOff>
      <xdr:row>17</xdr:row>
      <xdr:rowOff>47387</xdr:rowOff>
    </xdr:from>
    <xdr:to>
      <xdr:col>6</xdr:col>
      <xdr:colOff>274851</xdr:colOff>
      <xdr:row>37</xdr:row>
      <xdr:rowOff>28432</xdr:rowOff>
    </xdr:to>
    <xdr:graphicFrame macro="">
      <xdr:nvGraphicFramePr>
        <xdr:cNvPr id="2" name="Chart 1">
          <a:extLst>
            <a:ext uri="{FF2B5EF4-FFF2-40B4-BE49-F238E27FC236}">
              <a16:creationId xmlns:a16="http://schemas.microsoft.com/office/drawing/2014/main" id="{8B61D525-0AC7-2F2A-7251-FFB1E38DA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454926</xdr:colOff>
      <xdr:row>18</xdr:row>
      <xdr:rowOff>66344</xdr:rowOff>
    </xdr:from>
    <xdr:to>
      <xdr:col>11</xdr:col>
      <xdr:colOff>1270000</xdr:colOff>
      <xdr:row>37</xdr:row>
      <xdr:rowOff>18955</xdr:rowOff>
    </xdr:to>
    <xdr:graphicFrame macro="">
      <xdr:nvGraphicFramePr>
        <xdr:cNvPr id="4" name="Chart 3">
          <a:extLst>
            <a:ext uri="{FF2B5EF4-FFF2-40B4-BE49-F238E27FC236}">
              <a16:creationId xmlns:a16="http://schemas.microsoft.com/office/drawing/2014/main" id="{95D8C075-0533-C17D-125E-0BF3C995E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233264</xdr:colOff>
      <xdr:row>18</xdr:row>
      <xdr:rowOff>38879</xdr:rowOff>
    </xdr:from>
    <xdr:to>
      <xdr:col>21</xdr:col>
      <xdr:colOff>583164</xdr:colOff>
      <xdr:row>36</xdr:row>
      <xdr:rowOff>168470</xdr:rowOff>
    </xdr:to>
    <xdr:graphicFrame macro="">
      <xdr:nvGraphicFramePr>
        <xdr:cNvPr id="5" name="Chart 4">
          <a:extLst>
            <a:ext uri="{FF2B5EF4-FFF2-40B4-BE49-F238E27FC236}">
              <a16:creationId xmlns:a16="http://schemas.microsoft.com/office/drawing/2014/main" id="{C8F824EF-6398-A19E-28AE-36E1C3B55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520041</xdr:colOff>
      <xdr:row>38</xdr:row>
      <xdr:rowOff>52915</xdr:rowOff>
    </xdr:from>
    <xdr:to>
      <xdr:col>18</xdr:col>
      <xdr:colOff>527535</xdr:colOff>
      <xdr:row>51</xdr:row>
      <xdr:rowOff>23658</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39BBF87D-8321-20AC-DA8B-47295285A32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582645" y="7090832"/>
              <a:ext cx="1833119" cy="2378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413669</xdr:colOff>
      <xdr:row>29</xdr:row>
      <xdr:rowOff>123825</xdr:rowOff>
    </xdr:from>
    <xdr:to>
      <xdr:col>25</xdr:col>
      <xdr:colOff>421704</xdr:colOff>
      <xdr:row>44</xdr:row>
      <xdr:rowOff>17988</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78FD4475-CDC3-65C5-2490-A0D9B3612DF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736065" y="5494867"/>
              <a:ext cx="1833660" cy="2672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440126</xdr:colOff>
      <xdr:row>12</xdr:row>
      <xdr:rowOff>12321</xdr:rowOff>
    </xdr:from>
    <xdr:to>
      <xdr:col>25</xdr:col>
      <xdr:colOff>449781</xdr:colOff>
      <xdr:row>26</xdr:row>
      <xdr:rowOff>95472</xdr:rowOff>
    </xdr:to>
    <mc:AlternateContent xmlns:mc="http://schemas.openxmlformats.org/markup-compatibility/2006" xmlns:a14="http://schemas.microsoft.com/office/drawing/2010/main">
      <mc:Choice Requires="a14">
        <xdr:graphicFrame macro="">
          <xdr:nvGraphicFramePr>
            <xdr:cNvPr id="8" name="Discription">
              <a:extLst>
                <a:ext uri="{FF2B5EF4-FFF2-40B4-BE49-F238E27FC236}">
                  <a16:creationId xmlns:a16="http://schemas.microsoft.com/office/drawing/2014/main" id="{637BE98D-4215-ADB1-B679-89B9D0CF8416}"/>
                </a:ext>
              </a:extLst>
            </xdr:cNvPr>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mlns="">
        <xdr:sp macro="" textlink="">
          <xdr:nvSpPr>
            <xdr:cNvPr id="0" name=""/>
            <xdr:cNvSpPr>
              <a:spLocks noTextEdit="1"/>
            </xdr:cNvSpPr>
          </xdr:nvSpPr>
          <xdr:spPr>
            <a:xfrm>
              <a:off x="18762522" y="2234821"/>
              <a:ext cx="1835280" cy="2676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222250</xdr:colOff>
      <xdr:row>5</xdr:row>
      <xdr:rowOff>107950</xdr:rowOff>
    </xdr:to>
    <xdr:sp macro="" textlink="">
      <xdr:nvSpPr>
        <xdr:cNvPr id="2" name="Rectangle: Rounded Corners 1">
          <a:extLst>
            <a:ext uri="{FF2B5EF4-FFF2-40B4-BE49-F238E27FC236}">
              <a16:creationId xmlns:a16="http://schemas.microsoft.com/office/drawing/2014/main" id="{C4126E2A-D084-2937-45CF-468D1B557C66}"/>
            </a:ext>
          </a:extLst>
        </xdr:cNvPr>
        <xdr:cNvSpPr/>
      </xdr:nvSpPr>
      <xdr:spPr>
        <a:xfrm>
          <a:off x="0" y="0"/>
          <a:ext cx="8147050" cy="1028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50800</xdr:colOff>
      <xdr:row>1</xdr:row>
      <xdr:rowOff>31750</xdr:rowOff>
    </xdr:from>
    <xdr:to>
      <xdr:col>12</xdr:col>
      <xdr:colOff>349250</xdr:colOff>
      <xdr:row>3</xdr:row>
      <xdr:rowOff>127000</xdr:rowOff>
    </xdr:to>
    <xdr:sp macro="" textlink="">
      <xdr:nvSpPr>
        <xdr:cNvPr id="4" name="TextBox 3">
          <a:extLst>
            <a:ext uri="{FF2B5EF4-FFF2-40B4-BE49-F238E27FC236}">
              <a16:creationId xmlns:a16="http://schemas.microsoft.com/office/drawing/2014/main" id="{4F2DB805-9CC6-00A7-0C26-9531199B13DC}"/>
            </a:ext>
          </a:extLst>
        </xdr:cNvPr>
        <xdr:cNvSpPr txBox="1"/>
      </xdr:nvSpPr>
      <xdr:spPr>
        <a:xfrm>
          <a:off x="1270000" y="215900"/>
          <a:ext cx="6394450" cy="463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PERSONAL FINANCE BUDGET DASHBOARD</a:t>
          </a:r>
        </a:p>
      </xdr:txBody>
    </xdr:sp>
    <xdr:clientData/>
  </xdr:twoCellAnchor>
  <xdr:oneCellAnchor>
    <xdr:from>
      <xdr:col>0</xdr:col>
      <xdr:colOff>25400</xdr:colOff>
      <xdr:row>6</xdr:row>
      <xdr:rowOff>0</xdr:rowOff>
    </xdr:from>
    <xdr:ext cx="2222500" cy="946150"/>
    <xdr:sp macro="" textlink="">
      <xdr:nvSpPr>
        <xdr:cNvPr id="7" name="TextBox 6">
          <a:extLst>
            <a:ext uri="{FF2B5EF4-FFF2-40B4-BE49-F238E27FC236}">
              <a16:creationId xmlns:a16="http://schemas.microsoft.com/office/drawing/2014/main" id="{F8ADBFD8-C0C3-10C4-0506-3F98083EF207}"/>
            </a:ext>
          </a:extLst>
        </xdr:cNvPr>
        <xdr:cNvSpPr txBox="1"/>
      </xdr:nvSpPr>
      <xdr:spPr>
        <a:xfrm>
          <a:off x="25400" y="1104900"/>
          <a:ext cx="2222500" cy="946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0</xdr:col>
      <xdr:colOff>101600</xdr:colOff>
      <xdr:row>5</xdr:row>
      <xdr:rowOff>165100</xdr:rowOff>
    </xdr:from>
    <xdr:to>
      <xdr:col>4</xdr:col>
      <xdr:colOff>25400</xdr:colOff>
      <xdr:row>10</xdr:row>
      <xdr:rowOff>177800</xdr:rowOff>
    </xdr:to>
    <xdr:sp macro="" textlink="">
      <xdr:nvSpPr>
        <xdr:cNvPr id="8" name="Rectangle: Rounded Corners 7">
          <a:extLst>
            <a:ext uri="{FF2B5EF4-FFF2-40B4-BE49-F238E27FC236}">
              <a16:creationId xmlns:a16="http://schemas.microsoft.com/office/drawing/2014/main" id="{0AA87FAA-25B8-9DE2-6E74-8D0B6936ADDE}"/>
            </a:ext>
          </a:extLst>
        </xdr:cNvPr>
        <xdr:cNvSpPr/>
      </xdr:nvSpPr>
      <xdr:spPr>
        <a:xfrm>
          <a:off x="101600" y="1085850"/>
          <a:ext cx="2362200" cy="9334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5</xdr:row>
      <xdr:rowOff>165100</xdr:rowOff>
    </xdr:from>
    <xdr:to>
      <xdr:col>1</xdr:col>
      <xdr:colOff>584200</xdr:colOff>
      <xdr:row>10</xdr:row>
      <xdr:rowOff>165100</xdr:rowOff>
    </xdr:to>
    <xdr:sp macro="" textlink="">
      <xdr:nvSpPr>
        <xdr:cNvPr id="9" name="Rectangle: Rounded Corners 8">
          <a:extLst>
            <a:ext uri="{FF2B5EF4-FFF2-40B4-BE49-F238E27FC236}">
              <a16:creationId xmlns:a16="http://schemas.microsoft.com/office/drawing/2014/main" id="{11158B42-643D-20E0-BBEA-2B6C062A12F5}"/>
            </a:ext>
          </a:extLst>
        </xdr:cNvPr>
        <xdr:cNvSpPr/>
      </xdr:nvSpPr>
      <xdr:spPr>
        <a:xfrm>
          <a:off x="114300" y="1085850"/>
          <a:ext cx="1079500" cy="920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50800</xdr:colOff>
      <xdr:row>5</xdr:row>
      <xdr:rowOff>146050</xdr:rowOff>
    </xdr:from>
    <xdr:to>
      <xdr:col>7</xdr:col>
      <xdr:colOff>584200</xdr:colOff>
      <xdr:row>10</xdr:row>
      <xdr:rowOff>158750</xdr:rowOff>
    </xdr:to>
    <xdr:sp macro="" textlink="">
      <xdr:nvSpPr>
        <xdr:cNvPr id="10" name="Rectangle: Rounded Corners 9">
          <a:extLst>
            <a:ext uri="{FF2B5EF4-FFF2-40B4-BE49-F238E27FC236}">
              <a16:creationId xmlns:a16="http://schemas.microsoft.com/office/drawing/2014/main" id="{02E36D19-4B38-4955-BDBE-71510DFD1F44}"/>
            </a:ext>
          </a:extLst>
        </xdr:cNvPr>
        <xdr:cNvSpPr/>
      </xdr:nvSpPr>
      <xdr:spPr>
        <a:xfrm>
          <a:off x="2489200" y="1066800"/>
          <a:ext cx="2362200" cy="9334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VV</a:t>
          </a:r>
        </a:p>
      </xdr:txBody>
    </xdr:sp>
    <xdr:clientData/>
  </xdr:twoCellAnchor>
  <xdr:twoCellAnchor>
    <xdr:from>
      <xdr:col>8</xdr:col>
      <xdr:colOff>38100</xdr:colOff>
      <xdr:row>5</xdr:row>
      <xdr:rowOff>158750</xdr:rowOff>
    </xdr:from>
    <xdr:to>
      <xdr:col>11</xdr:col>
      <xdr:colOff>571500</xdr:colOff>
      <xdr:row>10</xdr:row>
      <xdr:rowOff>171450</xdr:rowOff>
    </xdr:to>
    <xdr:sp macro="" textlink="">
      <xdr:nvSpPr>
        <xdr:cNvPr id="11" name="Rectangle: Rounded Corners 10">
          <a:extLst>
            <a:ext uri="{FF2B5EF4-FFF2-40B4-BE49-F238E27FC236}">
              <a16:creationId xmlns:a16="http://schemas.microsoft.com/office/drawing/2014/main" id="{AFB6C0F8-2293-4253-8756-ABBAC93C7F27}"/>
            </a:ext>
          </a:extLst>
        </xdr:cNvPr>
        <xdr:cNvSpPr/>
      </xdr:nvSpPr>
      <xdr:spPr>
        <a:xfrm>
          <a:off x="4914900" y="1079500"/>
          <a:ext cx="2362200" cy="9334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50800</xdr:colOff>
      <xdr:row>5</xdr:row>
      <xdr:rowOff>165100</xdr:rowOff>
    </xdr:from>
    <xdr:to>
      <xdr:col>5</xdr:col>
      <xdr:colOff>520700</xdr:colOff>
      <xdr:row>10</xdr:row>
      <xdr:rowOff>165100</xdr:rowOff>
    </xdr:to>
    <xdr:sp macro="" textlink="">
      <xdr:nvSpPr>
        <xdr:cNvPr id="12" name="Rectangle: Rounded Corners 11">
          <a:extLst>
            <a:ext uri="{FF2B5EF4-FFF2-40B4-BE49-F238E27FC236}">
              <a16:creationId xmlns:a16="http://schemas.microsoft.com/office/drawing/2014/main" id="{8C732D54-ED72-4D34-8CC6-B1DEDD7CFB9B}"/>
            </a:ext>
          </a:extLst>
        </xdr:cNvPr>
        <xdr:cNvSpPr/>
      </xdr:nvSpPr>
      <xdr:spPr>
        <a:xfrm>
          <a:off x="2489200" y="1085850"/>
          <a:ext cx="1079500" cy="920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12700</xdr:colOff>
      <xdr:row>5</xdr:row>
      <xdr:rowOff>171450</xdr:rowOff>
    </xdr:from>
    <xdr:to>
      <xdr:col>9</xdr:col>
      <xdr:colOff>482600</xdr:colOff>
      <xdr:row>10</xdr:row>
      <xdr:rowOff>171450</xdr:rowOff>
    </xdr:to>
    <xdr:sp macro="" textlink="">
      <xdr:nvSpPr>
        <xdr:cNvPr id="13" name="Rectangle: Rounded Corners 12">
          <a:extLst>
            <a:ext uri="{FF2B5EF4-FFF2-40B4-BE49-F238E27FC236}">
              <a16:creationId xmlns:a16="http://schemas.microsoft.com/office/drawing/2014/main" id="{09A36ECF-5284-4C82-AF79-62D57B2D6191}"/>
            </a:ext>
          </a:extLst>
        </xdr:cNvPr>
        <xdr:cNvSpPr/>
      </xdr:nvSpPr>
      <xdr:spPr>
        <a:xfrm>
          <a:off x="4889500" y="1092200"/>
          <a:ext cx="1079500" cy="920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603250</xdr:colOff>
      <xdr:row>7</xdr:row>
      <xdr:rowOff>0</xdr:rowOff>
    </xdr:from>
    <xdr:to>
      <xdr:col>4</xdr:col>
      <xdr:colOff>0</xdr:colOff>
      <xdr:row>8</xdr:row>
      <xdr:rowOff>44450</xdr:rowOff>
    </xdr:to>
    <xdr:sp macro="" textlink="">
      <xdr:nvSpPr>
        <xdr:cNvPr id="15" name="TextBox 14">
          <a:extLst>
            <a:ext uri="{FF2B5EF4-FFF2-40B4-BE49-F238E27FC236}">
              <a16:creationId xmlns:a16="http://schemas.microsoft.com/office/drawing/2014/main" id="{897A61B5-2E7F-C800-1391-6398B55A233F}"/>
            </a:ext>
          </a:extLst>
        </xdr:cNvPr>
        <xdr:cNvSpPr txBox="1"/>
      </xdr:nvSpPr>
      <xdr:spPr>
        <a:xfrm>
          <a:off x="1212850" y="1289050"/>
          <a:ext cx="12255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EXPENCES</a:t>
          </a:r>
        </a:p>
      </xdr:txBody>
    </xdr:sp>
    <xdr:clientData/>
  </xdr:twoCellAnchor>
  <xdr:twoCellAnchor>
    <xdr:from>
      <xdr:col>6</xdr:col>
      <xdr:colOff>25400</xdr:colOff>
      <xdr:row>7</xdr:row>
      <xdr:rowOff>19050</xdr:rowOff>
    </xdr:from>
    <xdr:to>
      <xdr:col>7</xdr:col>
      <xdr:colOff>349250</xdr:colOff>
      <xdr:row>8</xdr:row>
      <xdr:rowOff>25400</xdr:rowOff>
    </xdr:to>
    <xdr:sp macro="" textlink="">
      <xdr:nvSpPr>
        <xdr:cNvPr id="16" name="TextBox 15">
          <a:extLst>
            <a:ext uri="{FF2B5EF4-FFF2-40B4-BE49-F238E27FC236}">
              <a16:creationId xmlns:a16="http://schemas.microsoft.com/office/drawing/2014/main" id="{F1EA6069-3BCD-BC30-3F2C-073A8997BF75}"/>
            </a:ext>
          </a:extLst>
        </xdr:cNvPr>
        <xdr:cNvSpPr txBox="1"/>
      </xdr:nvSpPr>
      <xdr:spPr>
        <a:xfrm>
          <a:off x="3683000" y="1308100"/>
          <a:ext cx="93345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AVERAGE</a:t>
          </a:r>
        </a:p>
      </xdr:txBody>
    </xdr:sp>
    <xdr:clientData/>
  </xdr:twoCellAnchor>
  <xdr:twoCellAnchor editAs="oneCell">
    <xdr:from>
      <xdr:col>0</xdr:col>
      <xdr:colOff>1</xdr:colOff>
      <xdr:row>11</xdr:row>
      <xdr:rowOff>1</xdr:rowOff>
    </xdr:from>
    <xdr:to>
      <xdr:col>2</xdr:col>
      <xdr:colOff>381001</xdr:colOff>
      <xdr:row>23</xdr:row>
      <xdr:rowOff>127001</xdr:rowOff>
    </xdr:to>
    <mc:AlternateContent xmlns:mc="http://schemas.openxmlformats.org/markup-compatibility/2006" xmlns:a14="http://schemas.microsoft.com/office/drawing/2010/main">
      <mc:Choice Requires="a14">
        <xdr:graphicFrame macro="">
          <xdr:nvGraphicFramePr>
            <xdr:cNvPr id="17" name="Month 1">
              <a:extLst>
                <a:ext uri="{FF2B5EF4-FFF2-40B4-BE49-F238E27FC236}">
                  <a16:creationId xmlns:a16="http://schemas.microsoft.com/office/drawing/2014/main" id="{B16A9164-C038-4A3E-8573-59DCD19B0DD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 y="2025651"/>
              <a:ext cx="1600200" cy="233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0</xdr:rowOff>
    </xdr:from>
    <xdr:to>
      <xdr:col>2</xdr:col>
      <xdr:colOff>381000</xdr:colOff>
      <xdr:row>37</xdr:row>
      <xdr:rowOff>177800</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F5D112BE-AF8F-4029-90E3-BDCE4CE6601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4419600"/>
              <a:ext cx="1600200" cy="257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0</xdr:rowOff>
    </xdr:from>
    <xdr:to>
      <xdr:col>2</xdr:col>
      <xdr:colOff>425450</xdr:colOff>
      <xdr:row>52</xdr:row>
      <xdr:rowOff>114300</xdr:rowOff>
    </xdr:to>
    <mc:AlternateContent xmlns:mc="http://schemas.openxmlformats.org/markup-compatibility/2006" xmlns:a14="http://schemas.microsoft.com/office/drawing/2010/main">
      <mc:Choice Requires="a14">
        <xdr:graphicFrame macro="">
          <xdr:nvGraphicFramePr>
            <xdr:cNvPr id="19" name="Discription 1">
              <a:extLst>
                <a:ext uri="{FF2B5EF4-FFF2-40B4-BE49-F238E27FC236}">
                  <a16:creationId xmlns:a16="http://schemas.microsoft.com/office/drawing/2014/main" id="{1A691F9B-29A7-4AD7-8E1C-CE60B1434B60}"/>
                </a:ext>
              </a:extLst>
            </xdr:cNvPr>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mlns="">
        <xdr:sp macro="" textlink="">
          <xdr:nvSpPr>
            <xdr:cNvPr id="0" name=""/>
            <xdr:cNvSpPr>
              <a:spLocks noTextEdit="1"/>
            </xdr:cNvSpPr>
          </xdr:nvSpPr>
          <xdr:spPr>
            <a:xfrm>
              <a:off x="0" y="6997700"/>
              <a:ext cx="1644650" cy="269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450849</xdr:colOff>
      <xdr:row>11</xdr:row>
      <xdr:rowOff>76199</xdr:rowOff>
    </xdr:from>
    <xdr:to>
      <xdr:col>7</xdr:col>
      <xdr:colOff>406400</xdr:colOff>
      <xdr:row>24</xdr:row>
      <xdr:rowOff>107950</xdr:rowOff>
    </xdr:to>
    <xdr:graphicFrame macro="">
      <xdr:nvGraphicFramePr>
        <xdr:cNvPr id="20" name="Chart 19">
          <a:extLst>
            <a:ext uri="{FF2B5EF4-FFF2-40B4-BE49-F238E27FC236}">
              <a16:creationId xmlns:a16="http://schemas.microsoft.com/office/drawing/2014/main" id="{56F8F7F0-382D-4AD9-855A-E51EA360F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463550</xdr:colOff>
      <xdr:row>11</xdr:row>
      <xdr:rowOff>139701</xdr:rowOff>
    </xdr:from>
    <xdr:to>
      <xdr:col>12</xdr:col>
      <xdr:colOff>165100</xdr:colOff>
      <xdr:row>23</xdr:row>
      <xdr:rowOff>158751</xdr:rowOff>
    </xdr:to>
    <xdr:graphicFrame macro="">
      <xdr:nvGraphicFramePr>
        <xdr:cNvPr id="21" name="Chart 20">
          <a:extLst>
            <a:ext uri="{FF2B5EF4-FFF2-40B4-BE49-F238E27FC236}">
              <a16:creationId xmlns:a16="http://schemas.microsoft.com/office/drawing/2014/main" id="{2892268D-C32B-41EF-80FB-3C4E0C5D9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488951</xdr:colOff>
      <xdr:row>25</xdr:row>
      <xdr:rowOff>76201</xdr:rowOff>
    </xdr:from>
    <xdr:to>
      <xdr:col>9</xdr:col>
      <xdr:colOff>412751</xdr:colOff>
      <xdr:row>40</xdr:row>
      <xdr:rowOff>120651</xdr:rowOff>
    </xdr:to>
    <xdr:graphicFrame macro="">
      <xdr:nvGraphicFramePr>
        <xdr:cNvPr id="22" name="Chart 21">
          <a:extLst>
            <a:ext uri="{FF2B5EF4-FFF2-40B4-BE49-F238E27FC236}">
              <a16:creationId xmlns:a16="http://schemas.microsoft.com/office/drawing/2014/main" id="{D2E5B333-7B0C-4DC2-90C6-E82C44329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158750</xdr:colOff>
      <xdr:row>5</xdr:row>
      <xdr:rowOff>158750</xdr:rowOff>
    </xdr:from>
    <xdr:to>
      <xdr:col>5</xdr:col>
      <xdr:colOff>463550</xdr:colOff>
      <xdr:row>10</xdr:row>
      <xdr:rowOff>152400</xdr:rowOff>
    </xdr:to>
    <xdr:pic>
      <xdr:nvPicPr>
        <xdr:cNvPr id="24" name="Graphic 23" descr="Coins with solid fill">
          <a:extLst>
            <a:ext uri="{FF2B5EF4-FFF2-40B4-BE49-F238E27FC236}">
              <a16:creationId xmlns:a16="http://schemas.microsoft.com/office/drawing/2014/main" id="{381D6550-35D4-0DBD-7090-BC3F5CEDCBC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97150" y="1079500"/>
          <a:ext cx="914400" cy="914400"/>
        </a:xfrm>
        <a:prstGeom prst="rect">
          <a:avLst/>
        </a:prstGeom>
      </xdr:spPr>
    </xdr:pic>
    <xdr:clientData/>
  </xdr:twoCellAnchor>
  <xdr:twoCellAnchor editAs="oneCell">
    <xdr:from>
      <xdr:col>0</xdr:col>
      <xdr:colOff>69850</xdr:colOff>
      <xdr:row>5</xdr:row>
      <xdr:rowOff>114300</xdr:rowOff>
    </xdr:from>
    <xdr:to>
      <xdr:col>1</xdr:col>
      <xdr:colOff>374650</xdr:colOff>
      <xdr:row>10</xdr:row>
      <xdr:rowOff>107950</xdr:rowOff>
    </xdr:to>
    <xdr:pic>
      <xdr:nvPicPr>
        <xdr:cNvPr id="26" name="Graphic 25" descr="Database with solid fill">
          <a:extLst>
            <a:ext uri="{FF2B5EF4-FFF2-40B4-BE49-F238E27FC236}">
              <a16:creationId xmlns:a16="http://schemas.microsoft.com/office/drawing/2014/main" id="{0658F033-B820-1DE9-0B58-8792ADD5ED2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9850" y="1035050"/>
          <a:ext cx="914400" cy="914400"/>
        </a:xfrm>
        <a:prstGeom prst="rect">
          <a:avLst/>
        </a:prstGeom>
      </xdr:spPr>
    </xdr:pic>
    <xdr:clientData/>
  </xdr:twoCellAnchor>
  <xdr:twoCellAnchor>
    <xdr:from>
      <xdr:col>2</xdr:col>
      <xdr:colOff>146050</xdr:colOff>
      <xdr:row>8</xdr:row>
      <xdr:rowOff>76200</xdr:rowOff>
    </xdr:from>
    <xdr:to>
      <xdr:col>3</xdr:col>
      <xdr:colOff>450850</xdr:colOff>
      <xdr:row>9</xdr:row>
      <xdr:rowOff>139700</xdr:rowOff>
    </xdr:to>
    <xdr:sp macro="" textlink="Sheet2!H6">
      <xdr:nvSpPr>
        <xdr:cNvPr id="27" name="TextBox 26">
          <a:extLst>
            <a:ext uri="{FF2B5EF4-FFF2-40B4-BE49-F238E27FC236}">
              <a16:creationId xmlns:a16="http://schemas.microsoft.com/office/drawing/2014/main" id="{1D5C1B6F-0DCF-3714-C508-57759A4B9126}"/>
            </a:ext>
          </a:extLst>
        </xdr:cNvPr>
        <xdr:cNvSpPr txBox="1"/>
      </xdr:nvSpPr>
      <xdr:spPr>
        <a:xfrm>
          <a:off x="1365250" y="1549400"/>
          <a:ext cx="91440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295DEE-64C0-48FC-98FA-47F889FBF956}" type="TxLink">
            <a:rPr lang="en-US" sz="1100" b="0" i="0" u="none" strike="noStrike">
              <a:solidFill>
                <a:srgbClr val="000000"/>
              </a:solidFill>
              <a:latin typeface="Aptos Narrow"/>
            </a:rPr>
            <a:pPr/>
            <a:t>283001</a:t>
          </a:fld>
          <a:endParaRPr lang="en-US" sz="1200" b="1"/>
        </a:p>
      </xdr:txBody>
    </xdr:sp>
    <xdr:clientData/>
  </xdr:twoCellAnchor>
  <xdr:twoCellAnchor>
    <xdr:from>
      <xdr:col>6</xdr:col>
      <xdr:colOff>44450</xdr:colOff>
      <xdr:row>8</xdr:row>
      <xdr:rowOff>95250</xdr:rowOff>
    </xdr:from>
    <xdr:to>
      <xdr:col>7</xdr:col>
      <xdr:colOff>412750</xdr:colOff>
      <xdr:row>9</xdr:row>
      <xdr:rowOff>165100</xdr:rowOff>
    </xdr:to>
    <xdr:sp macro="" textlink="">
      <xdr:nvSpPr>
        <xdr:cNvPr id="28" name="TextBox 27">
          <a:extLst>
            <a:ext uri="{FF2B5EF4-FFF2-40B4-BE49-F238E27FC236}">
              <a16:creationId xmlns:a16="http://schemas.microsoft.com/office/drawing/2014/main" id="{DFA271E3-59A7-7D62-8068-50C6CD58FD7D}"/>
            </a:ext>
          </a:extLst>
        </xdr:cNvPr>
        <xdr:cNvSpPr txBox="1"/>
      </xdr:nvSpPr>
      <xdr:spPr>
        <a:xfrm>
          <a:off x="3702050" y="1568450"/>
          <a:ext cx="97790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4796.610169</a:t>
          </a:r>
        </a:p>
      </xdr:txBody>
    </xdr:sp>
    <xdr:clientData/>
  </xdr:twoCellAnchor>
  <xdr:twoCellAnchor>
    <xdr:from>
      <xdr:col>9</xdr:col>
      <xdr:colOff>514350</xdr:colOff>
      <xdr:row>6</xdr:row>
      <xdr:rowOff>152400</xdr:rowOff>
    </xdr:from>
    <xdr:to>
      <xdr:col>11</xdr:col>
      <xdr:colOff>495300</xdr:colOff>
      <xdr:row>8</xdr:row>
      <xdr:rowOff>38100</xdr:rowOff>
    </xdr:to>
    <xdr:sp macro="" textlink="">
      <xdr:nvSpPr>
        <xdr:cNvPr id="29" name="TextBox 28">
          <a:extLst>
            <a:ext uri="{FF2B5EF4-FFF2-40B4-BE49-F238E27FC236}">
              <a16:creationId xmlns:a16="http://schemas.microsoft.com/office/drawing/2014/main" id="{92910DF8-68B0-BAD5-F167-D667B09C3CAE}"/>
            </a:ext>
          </a:extLst>
        </xdr:cNvPr>
        <xdr:cNvSpPr txBox="1"/>
      </xdr:nvSpPr>
      <xdr:spPr>
        <a:xfrm>
          <a:off x="6000750" y="1257300"/>
          <a:ext cx="120015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a:t>
          </a:r>
          <a:r>
            <a:rPr lang="en-IN" sz="1100" b="1" baseline="0"/>
            <a:t> EXP BY MON</a:t>
          </a:r>
          <a:endParaRPr lang="en-IN" sz="1100" b="1"/>
        </a:p>
      </xdr:txBody>
    </xdr:sp>
    <xdr:clientData/>
  </xdr:twoCellAnchor>
  <xdr:twoCellAnchor>
    <xdr:from>
      <xdr:col>10</xdr:col>
      <xdr:colOff>76200</xdr:colOff>
      <xdr:row>8</xdr:row>
      <xdr:rowOff>50800</xdr:rowOff>
    </xdr:from>
    <xdr:to>
      <xdr:col>11</xdr:col>
      <xdr:colOff>400050</xdr:colOff>
      <xdr:row>9</xdr:row>
      <xdr:rowOff>82550</xdr:rowOff>
    </xdr:to>
    <xdr:sp macro="" textlink="">
      <xdr:nvSpPr>
        <xdr:cNvPr id="30" name="TextBox 29">
          <a:extLst>
            <a:ext uri="{FF2B5EF4-FFF2-40B4-BE49-F238E27FC236}">
              <a16:creationId xmlns:a16="http://schemas.microsoft.com/office/drawing/2014/main" id="{CB61394F-4C8D-D45C-8DA8-70F9310923E7}"/>
            </a:ext>
          </a:extLst>
        </xdr:cNvPr>
        <xdr:cNvSpPr txBox="1"/>
      </xdr:nvSpPr>
      <xdr:spPr>
        <a:xfrm>
          <a:off x="6172200" y="1524000"/>
          <a:ext cx="933450" cy="215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4780</a:t>
          </a:r>
        </a:p>
      </xdr:txBody>
    </xdr:sp>
    <xdr:clientData/>
  </xdr:twoCellAnchor>
  <xdr:twoCellAnchor editAs="oneCell">
    <xdr:from>
      <xdr:col>8</xdr:col>
      <xdr:colOff>165100</xdr:colOff>
      <xdr:row>6</xdr:row>
      <xdr:rowOff>12700</xdr:rowOff>
    </xdr:from>
    <xdr:to>
      <xdr:col>9</xdr:col>
      <xdr:colOff>469900</xdr:colOff>
      <xdr:row>11</xdr:row>
      <xdr:rowOff>6350</xdr:rowOff>
    </xdr:to>
    <xdr:pic>
      <xdr:nvPicPr>
        <xdr:cNvPr id="32" name="Graphic 31" descr="Business Growth with solid fill">
          <a:extLst>
            <a:ext uri="{FF2B5EF4-FFF2-40B4-BE49-F238E27FC236}">
              <a16:creationId xmlns:a16="http://schemas.microsoft.com/office/drawing/2014/main" id="{1B5CF517-0374-19E3-60FA-F88E5710974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041900" y="111760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3.408799305558" createdVersion="8" refreshedVersion="8" minRefreshableVersion="3" recordCount="60" xr:uid="{F74CCCE6-9275-484F-B778-D2F1F3101D15}">
  <cacheSource type="worksheet">
    <worksheetSource ref="A1:E61" sheet="Sheet2"/>
  </cacheSource>
  <cacheFields count="7">
    <cacheField name="Date" numFmtId="14">
      <sharedItems containsSemiMixedTypes="0" containsNonDate="0" containsDate="1" containsString="0" minDate="2025-01-05T00:00:00" maxDate="2025-12-27T00:00:00" count="60">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sharedItems>
      <fieldGroup par="6"/>
    </cacheField>
    <cacheField name="Month" numFmtId="0">
      <sharedItems count="12">
        <s v="January"/>
        <s v="February"/>
        <s v="March"/>
        <s v="April"/>
        <s v="May"/>
        <s v="June"/>
        <s v="July"/>
        <s v="August"/>
        <s v="September"/>
        <s v="October"/>
        <s v="November"/>
        <s v="December"/>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acheField>
    <cacheField name="Days (Date)" numFmtId="0" databaseField="0">
      <fieldGroup base="0">
        <rangePr groupBy="days" startDate="2025-01-05T00:00:00" endDate="2025-12-27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12-2025"/>
        </groupItems>
      </fieldGroup>
    </cacheField>
    <cacheField name="Months (Date)" numFmtId="0" databaseField="0">
      <fieldGroup base="0">
        <rangePr groupBy="months" startDate="2025-01-05T00:00:00" endDate="2025-12-27T00:00:00"/>
        <groupItems count="14">
          <s v="&lt;05-01-2025"/>
          <s v="Jan"/>
          <s v="Feb"/>
          <s v="Mar"/>
          <s v="Apr"/>
          <s v="May"/>
          <s v="Jun"/>
          <s v="Jul"/>
          <s v="Aug"/>
          <s v="Sep"/>
          <s v="Oct"/>
          <s v="Nov"/>
          <s v="Dec"/>
          <s v="&gt;27-12-2025"/>
        </groupItems>
      </fieldGroup>
    </cacheField>
  </cacheFields>
  <extLst>
    <ext xmlns:x14="http://schemas.microsoft.com/office/spreadsheetml/2009/9/main" uri="{725AE2AE-9491-48be-B2B4-4EB974FC3084}">
      <x14:pivotCacheDefinition pivotCacheId="6207744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n v="12000"/>
  </r>
  <r>
    <x v="1"/>
    <x v="0"/>
    <x v="1"/>
    <x v="1"/>
    <n v="4200"/>
  </r>
  <r>
    <x v="2"/>
    <x v="0"/>
    <x v="2"/>
    <x v="2"/>
    <n v="2800"/>
  </r>
  <r>
    <x v="3"/>
    <x v="0"/>
    <x v="3"/>
    <x v="3"/>
    <n v="2300"/>
  </r>
  <r>
    <x v="4"/>
    <x v="0"/>
    <x v="4"/>
    <x v="4"/>
    <n v="2600"/>
  </r>
  <r>
    <x v="5"/>
    <x v="1"/>
    <x v="0"/>
    <x v="0"/>
    <n v="12000"/>
  </r>
  <r>
    <x v="6"/>
    <x v="1"/>
    <x v="1"/>
    <x v="1"/>
    <n v="5100"/>
  </r>
  <r>
    <x v="7"/>
    <x v="1"/>
    <x v="2"/>
    <x v="2"/>
    <n v="3200"/>
  </r>
  <r>
    <x v="8"/>
    <x v="1"/>
    <x v="3"/>
    <x v="3"/>
    <n v="1900"/>
  </r>
  <r>
    <x v="9"/>
    <x v="1"/>
    <x v="4"/>
    <x v="5"/>
    <n v="2400"/>
  </r>
  <r>
    <x v="10"/>
    <x v="2"/>
    <x v="0"/>
    <x v="0"/>
    <n v="12000"/>
  </r>
  <r>
    <x v="11"/>
    <x v="2"/>
    <x v="1"/>
    <x v="1"/>
    <n v="3900"/>
  </r>
  <r>
    <x v="12"/>
    <x v="2"/>
    <x v="2"/>
    <x v="6"/>
    <n v="2600"/>
  </r>
  <r>
    <x v="13"/>
    <x v="2"/>
    <x v="3"/>
    <x v="7"/>
    <n v="1500"/>
  </r>
  <r>
    <x v="14"/>
    <x v="2"/>
    <x v="4"/>
    <x v="4"/>
    <n v="2300"/>
  </r>
  <r>
    <x v="15"/>
    <x v="3"/>
    <x v="0"/>
    <x v="0"/>
    <n v="12000"/>
  </r>
  <r>
    <x v="16"/>
    <x v="3"/>
    <x v="1"/>
    <x v="1"/>
    <n v="4500"/>
  </r>
  <r>
    <x v="17"/>
    <x v="3"/>
    <x v="2"/>
    <x v="8"/>
    <n v="3000"/>
  </r>
  <r>
    <x v="18"/>
    <x v="3"/>
    <x v="3"/>
    <x v="3"/>
    <n v="2200"/>
  </r>
  <r>
    <x v="19"/>
    <x v="3"/>
    <x v="4"/>
    <x v="4"/>
    <n v="2500"/>
  </r>
  <r>
    <x v="20"/>
    <x v="4"/>
    <x v="0"/>
    <x v="0"/>
    <n v="12000"/>
  </r>
  <r>
    <x v="21"/>
    <x v="4"/>
    <x v="1"/>
    <x v="1"/>
    <n v="4800"/>
  </r>
  <r>
    <x v="22"/>
    <x v="4"/>
    <x v="2"/>
    <x v="8"/>
    <n v="2900"/>
  </r>
  <r>
    <x v="23"/>
    <x v="4"/>
    <x v="3"/>
    <x v="9"/>
    <n v="2100"/>
  </r>
  <r>
    <x v="24"/>
    <x v="4"/>
    <x v="4"/>
    <x v="4"/>
    <n v="2600"/>
  </r>
  <r>
    <x v="25"/>
    <x v="5"/>
    <x v="0"/>
    <x v="0"/>
    <n v="12000"/>
  </r>
  <r>
    <x v="26"/>
    <x v="5"/>
    <x v="1"/>
    <x v="1"/>
    <n v="5200"/>
  </r>
  <r>
    <x v="27"/>
    <x v="5"/>
    <x v="2"/>
    <x v="8"/>
    <n v="3300"/>
  </r>
  <r>
    <x v="28"/>
    <x v="5"/>
    <x v="3"/>
    <x v="10"/>
    <n v="2800"/>
  </r>
  <r>
    <x v="29"/>
    <x v="5"/>
    <x v="4"/>
    <x v="4"/>
    <n v="2700"/>
  </r>
  <r>
    <x v="30"/>
    <x v="6"/>
    <x v="0"/>
    <x v="0"/>
    <n v="12000"/>
  </r>
  <r>
    <x v="31"/>
    <x v="6"/>
    <x v="1"/>
    <x v="1"/>
    <n v="4100"/>
  </r>
  <r>
    <x v="32"/>
    <x v="6"/>
    <x v="2"/>
    <x v="6"/>
    <n v="2600"/>
  </r>
  <r>
    <x v="33"/>
    <x v="6"/>
    <x v="3"/>
    <x v="3"/>
    <n v="1800"/>
  </r>
  <r>
    <x v="34"/>
    <x v="6"/>
    <x v="4"/>
    <x v="4"/>
    <n v="2400"/>
  </r>
  <r>
    <x v="35"/>
    <x v="7"/>
    <x v="0"/>
    <x v="0"/>
    <n v="12000"/>
  </r>
  <r>
    <x v="36"/>
    <x v="7"/>
    <x v="1"/>
    <x v="1"/>
    <n v="4700"/>
  </r>
  <r>
    <x v="37"/>
    <x v="7"/>
    <x v="2"/>
    <x v="8"/>
    <n v="3100"/>
  </r>
  <r>
    <x v="38"/>
    <x v="7"/>
    <x v="3"/>
    <x v="9"/>
    <n v="2200"/>
  </r>
  <r>
    <x v="39"/>
    <x v="7"/>
    <x v="4"/>
    <x v="4"/>
    <n v="2500"/>
  </r>
  <r>
    <x v="40"/>
    <x v="8"/>
    <x v="0"/>
    <x v="0"/>
    <n v="12000"/>
  </r>
  <r>
    <x v="41"/>
    <x v="8"/>
    <x v="1"/>
    <x v="1"/>
    <n v="4300"/>
  </r>
  <r>
    <x v="42"/>
    <x v="8"/>
    <x v="2"/>
    <x v="6"/>
    <n v="2700"/>
  </r>
  <r>
    <x v="43"/>
    <x v="8"/>
    <x v="3"/>
    <x v="7"/>
    <n v="2000"/>
  </r>
  <r>
    <x v="44"/>
    <x v="8"/>
    <x v="4"/>
    <x v="4"/>
    <n v="2400"/>
  </r>
  <r>
    <x v="45"/>
    <x v="9"/>
    <x v="0"/>
    <x v="0"/>
    <n v="12000"/>
  </r>
  <r>
    <x v="46"/>
    <x v="9"/>
    <x v="1"/>
    <x v="1"/>
    <n v="5000"/>
  </r>
  <r>
    <x v="47"/>
    <x v="9"/>
    <x v="2"/>
    <x v="8"/>
    <n v="3200"/>
  </r>
  <r>
    <x v="48"/>
    <x v="9"/>
    <x v="3"/>
    <x v="11"/>
    <n v="3500"/>
  </r>
  <r>
    <x v="49"/>
    <x v="9"/>
    <x v="4"/>
    <x v="4"/>
    <n v="2800"/>
  </r>
  <r>
    <x v="50"/>
    <x v="10"/>
    <x v="0"/>
    <x v="0"/>
    <n v="12000"/>
  </r>
  <r>
    <x v="51"/>
    <x v="10"/>
    <x v="1"/>
    <x v="1"/>
    <n v="4600"/>
  </r>
  <r>
    <x v="52"/>
    <x v="10"/>
    <x v="2"/>
    <x v="8"/>
    <n v="3000"/>
  </r>
  <r>
    <x v="53"/>
    <x v="10"/>
    <x v="3"/>
    <x v="3"/>
    <n v="2100"/>
  </r>
  <r>
    <x v="54"/>
    <x v="10"/>
    <x v="4"/>
    <x v="4"/>
    <n v="2600"/>
  </r>
  <r>
    <x v="55"/>
    <x v="11"/>
    <x v="0"/>
    <x v="0"/>
    <n v="12000"/>
  </r>
  <r>
    <x v="56"/>
    <x v="11"/>
    <x v="1"/>
    <x v="1"/>
    <n v="5400"/>
  </r>
  <r>
    <x v="57"/>
    <x v="11"/>
    <x v="2"/>
    <x v="12"/>
    <n v="3600"/>
  </r>
  <r>
    <x v="58"/>
    <x v="11"/>
    <x v="3"/>
    <x v="13"/>
    <n v="4000"/>
  </r>
  <r>
    <x v="59"/>
    <x v="11"/>
    <x v="4"/>
    <x v="4"/>
    <n v="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AC17F6-B6DF-4E7B-808D-9F121320DE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7">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dataField="1" showAll="0">
      <items count="13">
        <item x="0"/>
        <item x="1"/>
        <item x="2"/>
        <item x="3"/>
        <item x="4"/>
        <item x="5"/>
        <item x="6"/>
        <item x="7"/>
        <item x="8"/>
        <item x="9"/>
        <item x="10"/>
        <item x="11"/>
        <item t="default"/>
      </items>
    </pivotField>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6"/>
    <field x="5"/>
    <field x="0"/>
    <field x="1"/>
  </rowFields>
  <rowItems count="13">
    <i>
      <x v="1"/>
    </i>
    <i>
      <x v="2"/>
    </i>
    <i>
      <x v="3"/>
    </i>
    <i>
      <x v="4"/>
    </i>
    <i>
      <x v="5"/>
    </i>
    <i>
      <x v="6"/>
    </i>
    <i>
      <x v="7"/>
    </i>
    <i>
      <x v="8"/>
    </i>
    <i>
      <x v="9"/>
    </i>
    <i>
      <x v="10"/>
    </i>
    <i>
      <x v="11"/>
    </i>
    <i>
      <x v="12"/>
    </i>
    <i t="grand">
      <x/>
    </i>
  </rowItems>
  <colItems count="1">
    <i/>
  </colItems>
  <dataFields count="1">
    <dataField name="Count of Month"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0ED755-4246-4EF3-8C8C-127A1B357C7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K18" firstHeaderRow="1" firstDataRow="1" firstDataCol="1"/>
  <pivotFields count="7">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6"/>
    <field x="5"/>
    <field x="0"/>
    <field x="1"/>
  </rowFields>
  <rowItems count="13">
    <i>
      <x v="1"/>
    </i>
    <i>
      <x v="2"/>
    </i>
    <i>
      <x v="3"/>
    </i>
    <i>
      <x v="4"/>
    </i>
    <i>
      <x v="5"/>
    </i>
    <i>
      <x v="6"/>
    </i>
    <i>
      <x v="7"/>
    </i>
    <i>
      <x v="8"/>
    </i>
    <i>
      <x v="9"/>
    </i>
    <i>
      <x v="10"/>
    </i>
    <i>
      <x v="11"/>
    </i>
    <i>
      <x v="12"/>
    </i>
    <i t="grand">
      <x/>
    </i>
  </rowItems>
  <colItems count="1">
    <i/>
  </colItems>
  <dataFields count="1">
    <dataField name="Sum of Actual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B4870D-727B-4585-8F1F-8EE3CA389D2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4:H17" firstHeaderRow="1" firstDataRow="1" firstDataCol="1"/>
  <pivotFields count="7">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items count="13">
        <item x="0"/>
        <item x="1"/>
        <item x="2"/>
        <item x="3"/>
        <item x="4"/>
        <item x="5"/>
        <item x="6"/>
        <item x="7"/>
        <item x="8"/>
        <item x="9"/>
        <item x="10"/>
        <item x="11"/>
        <item t="default"/>
      </items>
    </pivotField>
    <pivotField showAll="0"/>
    <pivotField axis="axisRow" dataField="1" showAll="0">
      <items count="15">
        <item x="6"/>
        <item x="2"/>
        <item x="4"/>
        <item x="11"/>
        <item x="8"/>
        <item x="1"/>
        <item x="0"/>
        <item x="3"/>
        <item x="7"/>
        <item x="9"/>
        <item x="12"/>
        <item x="10"/>
        <item x="5"/>
        <item x="13"/>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5">
    <field x="6"/>
    <field x="5"/>
    <field x="0"/>
    <field x="1"/>
    <field x="3"/>
  </rowFields>
  <rowItems count="13">
    <i>
      <x v="1"/>
    </i>
    <i>
      <x v="2"/>
    </i>
    <i>
      <x v="3"/>
    </i>
    <i>
      <x v="4"/>
    </i>
    <i>
      <x v="5"/>
    </i>
    <i>
      <x v="6"/>
    </i>
    <i>
      <x v="7"/>
    </i>
    <i>
      <x v="8"/>
    </i>
    <i>
      <x v="9"/>
    </i>
    <i>
      <x v="10"/>
    </i>
    <i>
      <x v="11"/>
    </i>
    <i>
      <x v="12"/>
    </i>
    <i t="grand">
      <x/>
    </i>
  </rowItems>
  <colItems count="1">
    <i/>
  </colItems>
  <dataFields count="1">
    <dataField name="Count of Discription" fld="3" subtotal="count"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3F3DAB-9040-4D7A-B158-39469D8015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3:E16" firstHeaderRow="1" firstDataRow="1" firstDataCol="1"/>
  <pivotFields count="7">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items count="13">
        <item x="0"/>
        <item x="1"/>
        <item x="2"/>
        <item x="3"/>
        <item x="4"/>
        <item x="5"/>
        <item x="6"/>
        <item x="7"/>
        <item x="8"/>
        <item x="9"/>
        <item x="10"/>
        <item x="11"/>
        <item t="default"/>
      </items>
    </pivotField>
    <pivotField axis="axisRow" dataField="1" showAll="0">
      <items count="6">
        <item x="3"/>
        <item x="1"/>
        <item x="0"/>
        <item x="2"/>
        <item x="4"/>
        <item t="default"/>
      </items>
    </pivotField>
    <pivotField showAll="0">
      <items count="15">
        <item x="6"/>
        <item x="2"/>
        <item x="4"/>
        <item x="11"/>
        <item x="8"/>
        <item x="1"/>
        <item x="0"/>
        <item x="3"/>
        <item x="7"/>
        <item x="9"/>
        <item x="12"/>
        <item x="10"/>
        <item x="5"/>
        <item x="13"/>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5">
    <field x="6"/>
    <field x="5"/>
    <field x="0"/>
    <field x="1"/>
    <field x="2"/>
  </rowFields>
  <rowItems count="13">
    <i>
      <x v="1"/>
    </i>
    <i>
      <x v="2"/>
    </i>
    <i>
      <x v="3"/>
    </i>
    <i>
      <x v="4"/>
    </i>
    <i>
      <x v="5"/>
    </i>
    <i>
      <x v="6"/>
    </i>
    <i>
      <x v="7"/>
    </i>
    <i>
      <x v="8"/>
    </i>
    <i>
      <x v="9"/>
    </i>
    <i>
      <x v="10"/>
    </i>
    <i>
      <x v="11"/>
    </i>
    <i>
      <x v="12"/>
    </i>
    <i t="grand">
      <x/>
    </i>
  </rowItems>
  <colItems count="1">
    <i/>
  </colItems>
  <dataFields count="1">
    <dataField name="Count of Category" fld="2" subtotal="count" baseField="0" baseItem="0"/>
  </dataFields>
  <chartFormats count="26">
    <chartFormat chart="16" format="0" series="1">
      <pivotArea type="data" outline="0" fieldPosition="0">
        <references count="1">
          <reference field="4294967294" count="1" selected="0">
            <x v="0"/>
          </reference>
        </references>
      </pivotArea>
    </chartFormat>
    <chartFormat chart="18" format="14" series="1">
      <pivotArea type="data" outline="0" fieldPosition="0">
        <references count="1">
          <reference field="4294967294" count="1" selected="0">
            <x v="0"/>
          </reference>
        </references>
      </pivotArea>
    </chartFormat>
    <chartFormat chart="18" format="15">
      <pivotArea type="data" outline="0" fieldPosition="0">
        <references count="2">
          <reference field="4294967294" count="1" selected="0">
            <x v="0"/>
          </reference>
          <reference field="6" count="1" selected="0">
            <x v="1"/>
          </reference>
        </references>
      </pivotArea>
    </chartFormat>
    <chartFormat chart="18" format="16">
      <pivotArea type="data" outline="0" fieldPosition="0">
        <references count="2">
          <reference field="4294967294" count="1" selected="0">
            <x v="0"/>
          </reference>
          <reference field="6" count="1" selected="0">
            <x v="2"/>
          </reference>
        </references>
      </pivotArea>
    </chartFormat>
    <chartFormat chart="18" format="17">
      <pivotArea type="data" outline="0" fieldPosition="0">
        <references count="2">
          <reference field="4294967294" count="1" selected="0">
            <x v="0"/>
          </reference>
          <reference field="6" count="1" selected="0">
            <x v="3"/>
          </reference>
        </references>
      </pivotArea>
    </chartFormat>
    <chartFormat chart="18" format="18">
      <pivotArea type="data" outline="0" fieldPosition="0">
        <references count="2">
          <reference field="4294967294" count="1" selected="0">
            <x v="0"/>
          </reference>
          <reference field="6" count="1" selected="0">
            <x v="4"/>
          </reference>
        </references>
      </pivotArea>
    </chartFormat>
    <chartFormat chart="18" format="19">
      <pivotArea type="data" outline="0" fieldPosition="0">
        <references count="2">
          <reference field="4294967294" count="1" selected="0">
            <x v="0"/>
          </reference>
          <reference field="6" count="1" selected="0">
            <x v="5"/>
          </reference>
        </references>
      </pivotArea>
    </chartFormat>
    <chartFormat chart="18" format="20">
      <pivotArea type="data" outline="0" fieldPosition="0">
        <references count="2">
          <reference field="4294967294" count="1" selected="0">
            <x v="0"/>
          </reference>
          <reference field="6" count="1" selected="0">
            <x v="6"/>
          </reference>
        </references>
      </pivotArea>
    </chartFormat>
    <chartFormat chart="18" format="21">
      <pivotArea type="data" outline="0" fieldPosition="0">
        <references count="2">
          <reference field="4294967294" count="1" selected="0">
            <x v="0"/>
          </reference>
          <reference field="6" count="1" selected="0">
            <x v="7"/>
          </reference>
        </references>
      </pivotArea>
    </chartFormat>
    <chartFormat chart="18" format="22">
      <pivotArea type="data" outline="0" fieldPosition="0">
        <references count="2">
          <reference field="4294967294" count="1" selected="0">
            <x v="0"/>
          </reference>
          <reference field="6" count="1" selected="0">
            <x v="8"/>
          </reference>
        </references>
      </pivotArea>
    </chartFormat>
    <chartFormat chart="18" format="23">
      <pivotArea type="data" outline="0" fieldPosition="0">
        <references count="2">
          <reference field="4294967294" count="1" selected="0">
            <x v="0"/>
          </reference>
          <reference field="6" count="1" selected="0">
            <x v="9"/>
          </reference>
        </references>
      </pivotArea>
    </chartFormat>
    <chartFormat chart="18" format="24">
      <pivotArea type="data" outline="0" fieldPosition="0">
        <references count="2">
          <reference field="4294967294" count="1" selected="0">
            <x v="0"/>
          </reference>
          <reference field="6" count="1" selected="0">
            <x v="10"/>
          </reference>
        </references>
      </pivotArea>
    </chartFormat>
    <chartFormat chart="18" format="25">
      <pivotArea type="data" outline="0" fieldPosition="0">
        <references count="2">
          <reference field="4294967294" count="1" selected="0">
            <x v="0"/>
          </reference>
          <reference field="6" count="1" selected="0">
            <x v="11"/>
          </reference>
        </references>
      </pivotArea>
    </chartFormat>
    <chartFormat chart="18" format="26">
      <pivotArea type="data" outline="0" fieldPosition="0">
        <references count="2">
          <reference field="4294967294" count="1" selected="0">
            <x v="0"/>
          </reference>
          <reference field="6" count="1" selected="0">
            <x v="12"/>
          </reference>
        </references>
      </pivotArea>
    </chartFormat>
    <chartFormat chart="16" format="1">
      <pivotArea type="data" outline="0" fieldPosition="0">
        <references count="2">
          <reference field="4294967294" count="1" selected="0">
            <x v="0"/>
          </reference>
          <reference field="6" count="1" selected="0">
            <x v="1"/>
          </reference>
        </references>
      </pivotArea>
    </chartFormat>
    <chartFormat chart="16" format="2">
      <pivotArea type="data" outline="0" fieldPosition="0">
        <references count="2">
          <reference field="4294967294" count="1" selected="0">
            <x v="0"/>
          </reference>
          <reference field="6" count="1" selected="0">
            <x v="2"/>
          </reference>
        </references>
      </pivotArea>
    </chartFormat>
    <chartFormat chart="16" format="3">
      <pivotArea type="data" outline="0" fieldPosition="0">
        <references count="2">
          <reference field="4294967294" count="1" selected="0">
            <x v="0"/>
          </reference>
          <reference field="6" count="1" selected="0">
            <x v="3"/>
          </reference>
        </references>
      </pivotArea>
    </chartFormat>
    <chartFormat chart="16" format="4">
      <pivotArea type="data" outline="0" fieldPosition="0">
        <references count="2">
          <reference field="4294967294" count="1" selected="0">
            <x v="0"/>
          </reference>
          <reference field="6" count="1" selected="0">
            <x v="4"/>
          </reference>
        </references>
      </pivotArea>
    </chartFormat>
    <chartFormat chart="16" format="5">
      <pivotArea type="data" outline="0" fieldPosition="0">
        <references count="2">
          <reference field="4294967294" count="1" selected="0">
            <x v="0"/>
          </reference>
          <reference field="6" count="1" selected="0">
            <x v="5"/>
          </reference>
        </references>
      </pivotArea>
    </chartFormat>
    <chartFormat chart="16" format="6">
      <pivotArea type="data" outline="0" fieldPosition="0">
        <references count="2">
          <reference field="4294967294" count="1" selected="0">
            <x v="0"/>
          </reference>
          <reference field="6" count="1" selected="0">
            <x v="6"/>
          </reference>
        </references>
      </pivotArea>
    </chartFormat>
    <chartFormat chart="16" format="7">
      <pivotArea type="data" outline="0" fieldPosition="0">
        <references count="2">
          <reference field="4294967294" count="1" selected="0">
            <x v="0"/>
          </reference>
          <reference field="6" count="1" selected="0">
            <x v="7"/>
          </reference>
        </references>
      </pivotArea>
    </chartFormat>
    <chartFormat chart="16" format="8">
      <pivotArea type="data" outline="0" fieldPosition="0">
        <references count="2">
          <reference field="4294967294" count="1" selected="0">
            <x v="0"/>
          </reference>
          <reference field="6" count="1" selected="0">
            <x v="8"/>
          </reference>
        </references>
      </pivotArea>
    </chartFormat>
    <chartFormat chart="16" format="9">
      <pivotArea type="data" outline="0" fieldPosition="0">
        <references count="2">
          <reference field="4294967294" count="1" selected="0">
            <x v="0"/>
          </reference>
          <reference field="6" count="1" selected="0">
            <x v="9"/>
          </reference>
        </references>
      </pivotArea>
    </chartFormat>
    <chartFormat chart="16" format="10">
      <pivotArea type="data" outline="0" fieldPosition="0">
        <references count="2">
          <reference field="4294967294" count="1" selected="0">
            <x v="0"/>
          </reference>
          <reference field="6" count="1" selected="0">
            <x v="10"/>
          </reference>
        </references>
      </pivotArea>
    </chartFormat>
    <chartFormat chart="16" format="11">
      <pivotArea type="data" outline="0" fieldPosition="0">
        <references count="2">
          <reference field="4294967294" count="1" selected="0">
            <x v="0"/>
          </reference>
          <reference field="6" count="1" selected="0">
            <x v="11"/>
          </reference>
        </references>
      </pivotArea>
    </chartFormat>
    <chartFormat chart="16" format="12">
      <pivotArea type="data" outline="0" fieldPosition="0">
        <references count="2">
          <reference field="4294967294" count="1" selected="0">
            <x v="0"/>
          </reference>
          <reference field="6"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8810C5B-A45B-4A16-9EAE-28AF89E68BBE}" sourceName="Month">
  <pivotTables>
    <pivotTable tabId="4" name="PivotTable3"/>
  </pivotTables>
  <data>
    <tabular pivotCacheId="620774450">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E1A6C9-4A46-42AC-BB0D-B1ADAEC9EEDB}" sourceName="Category">
  <pivotTables>
    <pivotTable tabId="4" name="PivotTable3"/>
  </pivotTables>
  <data>
    <tabular pivotCacheId="620774450">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ription" xr10:uid="{D5FBA276-99F2-4E90-B1AA-3EC55C91BA6A}" sourceName="Discription">
  <pivotTables>
    <pivotTable tabId="4" name="PivotTable3"/>
  </pivotTables>
  <data>
    <tabular pivotCacheId="620774450">
      <items count="14">
        <i x="6" s="1"/>
        <i x="2" s="1"/>
        <i x="4" s="1"/>
        <i x="11" s="1"/>
        <i x="8" s="1"/>
        <i x="1" s="1"/>
        <i x="0" s="1"/>
        <i x="3" s="1"/>
        <i x="7" s="1"/>
        <i x="9" s="1"/>
        <i x="12" s="1"/>
        <i x="10" s="1"/>
        <i x="5"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5711E3C-FCF6-4DAE-BDCC-729C307D37F8}" cache="Slicer_Month" caption="Month" rowHeight="251883"/>
  <slicer name="Category" xr10:uid="{1E0E2D75-5B7B-435C-A147-C96B3112BC73}" cache="Slicer_Category" caption="Category" rowHeight="251883"/>
  <slicer name="Discription" xr10:uid="{02E4436D-B123-4A4A-B042-56B64016AF3C}" cache="Slicer_Discription" caption="Discripti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7E2AE8B-8852-4B07-8E6B-28F6E17F432A}" cache="Slicer_Month" caption="Month" style="SlicerStyleDark1" rowHeight="251883"/>
  <slicer name="Category 1" xr10:uid="{612484FF-F374-45BB-A632-FFE9210C116E}" cache="Slicer_Category" caption="Category" style="SlicerStyleDark1" rowHeight="251883"/>
  <slicer name="Discription 1" xr10:uid="{01725633-607C-4075-8BFB-93ADA46852D1}" cache="Slicer_Discription" caption="Discription"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BCBEE-25F7-49F9-A32E-D9D659F17789}" name="Table1" displayName="Table1" ref="A3:E8" totalsRowShown="0">
  <autoFilter ref="A3:E8" xr:uid="{5B2BCBEE-25F7-49F9-A32E-D9D659F17789}"/>
  <tableColumns count="5">
    <tableColumn id="1" xr3:uid="{F5D8F0DE-17EE-4B02-860B-71996BE2E7AC}" name="Date" dataDxfId="0"/>
    <tableColumn id="2" xr3:uid="{75CB4F5B-C6C7-4A74-BB08-201A0ED0E966}" name="Month"/>
    <tableColumn id="3" xr3:uid="{A3EB0A09-745F-418D-9F9B-CA9D7179D5D8}" name="Category"/>
    <tableColumn id="4" xr3:uid="{7A65882A-951A-4F96-B65C-A42938011A52}" name="Discription"/>
    <tableColumn id="5" xr3:uid="{C057BE51-8763-4F8D-BDA3-F3E726AD92CA}" name="Actual 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1AAE9-1FEA-4072-9CC5-0D42E942A0D7}">
  <dimension ref="A1:E8"/>
  <sheetViews>
    <sheetView workbookViewId="0">
      <selection activeCell="A3" sqref="A3:E8"/>
    </sheetView>
  </sheetViews>
  <sheetFormatPr defaultRowHeight="14.5" x14ac:dyDescent="0.35"/>
  <cols>
    <col min="1" max="1" width="10.08984375" bestFit="1" customWidth="1"/>
    <col min="2" max="2" width="8.81640625" bestFit="1" customWidth="1"/>
    <col min="3" max="4" width="12.36328125" bestFit="1" customWidth="1"/>
    <col min="5" max="5" width="15.36328125" bestFit="1" customWidth="1"/>
  </cols>
  <sheetData>
    <row r="1" spans="1:5" x14ac:dyDescent="0.35">
      <c r="A1" s="15" t="s">
        <v>59</v>
      </c>
    </row>
    <row r="3" spans="1:5" x14ac:dyDescent="0.35">
      <c r="A3" t="s">
        <v>0</v>
      </c>
      <c r="B3" t="s">
        <v>1</v>
      </c>
      <c r="C3" t="s">
        <v>2</v>
      </c>
      <c r="D3" t="s">
        <v>3</v>
      </c>
      <c r="E3" t="s">
        <v>4</v>
      </c>
    </row>
    <row r="4" spans="1:5" x14ac:dyDescent="0.35">
      <c r="A4" s="14">
        <v>45721</v>
      </c>
      <c r="B4" t="s">
        <v>20</v>
      </c>
      <c r="C4" t="s">
        <v>6</v>
      </c>
      <c r="D4" t="s">
        <v>7</v>
      </c>
      <c r="E4">
        <v>12000</v>
      </c>
    </row>
    <row r="5" spans="1:5" x14ac:dyDescent="0.35">
      <c r="A5" s="14">
        <v>45724</v>
      </c>
      <c r="B5" t="s">
        <v>20</v>
      </c>
      <c r="C5" t="s">
        <v>8</v>
      </c>
      <c r="D5" t="s">
        <v>9</v>
      </c>
      <c r="E5">
        <v>3900</v>
      </c>
    </row>
    <row r="6" spans="1:5" x14ac:dyDescent="0.35">
      <c r="A6" s="14">
        <v>45730</v>
      </c>
      <c r="B6" t="s">
        <v>20</v>
      </c>
      <c r="C6" t="s">
        <v>10</v>
      </c>
      <c r="D6" t="s">
        <v>22</v>
      </c>
      <c r="E6">
        <v>2600</v>
      </c>
    </row>
    <row r="7" spans="1:5" x14ac:dyDescent="0.35">
      <c r="A7" s="14">
        <v>45736</v>
      </c>
      <c r="B7" t="s">
        <v>20</v>
      </c>
      <c r="C7" t="s">
        <v>13</v>
      </c>
      <c r="D7" t="s">
        <v>23</v>
      </c>
      <c r="E7">
        <v>1500</v>
      </c>
    </row>
    <row r="8" spans="1:5" x14ac:dyDescent="0.35">
      <c r="A8" s="14">
        <v>45742</v>
      </c>
      <c r="B8" t="s">
        <v>20</v>
      </c>
      <c r="C8" t="s">
        <v>15</v>
      </c>
      <c r="D8" t="s">
        <v>16</v>
      </c>
      <c r="E8">
        <v>2300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3E4DC-A235-46E9-B182-4437C5D38C5D}">
  <dimension ref="A3:K18"/>
  <sheetViews>
    <sheetView topLeftCell="A9" zoomScale="46" zoomScaleNormal="76" workbookViewId="0">
      <selection activeCell="M44" sqref="M44"/>
    </sheetView>
  </sheetViews>
  <sheetFormatPr defaultRowHeight="14.5" x14ac:dyDescent="0.35"/>
  <cols>
    <col min="1" max="1" width="12.453125" bestFit="1" customWidth="1"/>
    <col min="2" max="2" width="13.6328125" bestFit="1" customWidth="1"/>
    <col min="4" max="4" width="19.1796875" bestFit="1" customWidth="1"/>
    <col min="5" max="5" width="22.36328125" bestFit="1" customWidth="1"/>
    <col min="7" max="7" width="12.453125" bestFit="1" customWidth="1"/>
    <col min="8" max="8" width="17.7265625" bestFit="1" customWidth="1"/>
    <col min="10" max="10" width="12.453125" bestFit="1" customWidth="1"/>
    <col min="11" max="12" width="19.36328125" bestFit="1" customWidth="1"/>
  </cols>
  <sheetData>
    <row r="3" spans="1:11" x14ac:dyDescent="0.35">
      <c r="A3" s="12" t="s">
        <v>42</v>
      </c>
      <c r="B3" t="s">
        <v>55</v>
      </c>
      <c r="D3" s="12" t="s">
        <v>42</v>
      </c>
      <c r="E3" t="s">
        <v>56</v>
      </c>
    </row>
    <row r="4" spans="1:11" x14ac:dyDescent="0.35">
      <c r="A4" s="13" t="s">
        <v>44</v>
      </c>
      <c r="B4">
        <v>5</v>
      </c>
      <c r="D4" s="13" t="s">
        <v>44</v>
      </c>
      <c r="E4">
        <v>5</v>
      </c>
      <c r="G4" s="12" t="s">
        <v>42</v>
      </c>
      <c r="H4" t="s">
        <v>57</v>
      </c>
    </row>
    <row r="5" spans="1:11" x14ac:dyDescent="0.35">
      <c r="A5" s="13" t="s">
        <v>45</v>
      </c>
      <c r="B5">
        <v>5</v>
      </c>
      <c r="D5" s="13" t="s">
        <v>45</v>
      </c>
      <c r="E5">
        <v>5</v>
      </c>
      <c r="G5" s="13" t="s">
        <v>44</v>
      </c>
      <c r="H5">
        <v>5</v>
      </c>
      <c r="J5" s="12" t="s">
        <v>42</v>
      </c>
      <c r="K5" t="s">
        <v>58</v>
      </c>
    </row>
    <row r="6" spans="1:11" x14ac:dyDescent="0.35">
      <c r="A6" s="13" t="s">
        <v>46</v>
      </c>
      <c r="B6">
        <v>5</v>
      </c>
      <c r="D6" s="13" t="s">
        <v>46</v>
      </c>
      <c r="E6">
        <v>5</v>
      </c>
      <c r="G6" s="13" t="s">
        <v>45</v>
      </c>
      <c r="H6">
        <v>5</v>
      </c>
      <c r="J6" s="13" t="s">
        <v>44</v>
      </c>
      <c r="K6">
        <v>23900</v>
      </c>
    </row>
    <row r="7" spans="1:11" x14ac:dyDescent="0.35">
      <c r="A7" s="13" t="s">
        <v>47</v>
      </c>
      <c r="B7">
        <v>5</v>
      </c>
      <c r="D7" s="13" t="s">
        <v>47</v>
      </c>
      <c r="E7">
        <v>5</v>
      </c>
      <c r="G7" s="13" t="s">
        <v>46</v>
      </c>
      <c r="H7">
        <v>5</v>
      </c>
      <c r="J7" s="13" t="s">
        <v>45</v>
      </c>
      <c r="K7">
        <v>24600</v>
      </c>
    </row>
    <row r="8" spans="1:11" x14ac:dyDescent="0.35">
      <c r="A8" s="13" t="s">
        <v>28</v>
      </c>
      <c r="B8">
        <v>5</v>
      </c>
      <c r="D8" s="13" t="s">
        <v>28</v>
      </c>
      <c r="E8">
        <v>5</v>
      </c>
      <c r="G8" s="13" t="s">
        <v>47</v>
      </c>
      <c r="H8">
        <v>5</v>
      </c>
      <c r="J8" s="13" t="s">
        <v>46</v>
      </c>
      <c r="K8">
        <v>22300</v>
      </c>
    </row>
    <row r="9" spans="1:11" x14ac:dyDescent="0.35">
      <c r="A9" s="13" t="s">
        <v>48</v>
      </c>
      <c r="B9">
        <v>5</v>
      </c>
      <c r="D9" s="13" t="s">
        <v>48</v>
      </c>
      <c r="E9">
        <v>5</v>
      </c>
      <c r="G9" s="13" t="s">
        <v>28</v>
      </c>
      <c r="H9">
        <v>5</v>
      </c>
      <c r="J9" s="13" t="s">
        <v>47</v>
      </c>
      <c r="K9">
        <v>24200</v>
      </c>
    </row>
    <row r="10" spans="1:11" x14ac:dyDescent="0.35">
      <c r="A10" s="13" t="s">
        <v>49</v>
      </c>
      <c r="B10">
        <v>5</v>
      </c>
      <c r="D10" s="13" t="s">
        <v>49</v>
      </c>
      <c r="E10">
        <v>5</v>
      </c>
      <c r="G10" s="13" t="s">
        <v>48</v>
      </c>
      <c r="H10">
        <v>5</v>
      </c>
      <c r="J10" s="13" t="s">
        <v>28</v>
      </c>
      <c r="K10">
        <v>24400</v>
      </c>
    </row>
    <row r="11" spans="1:11" x14ac:dyDescent="0.35">
      <c r="A11" s="13" t="s">
        <v>50</v>
      </c>
      <c r="B11">
        <v>5</v>
      </c>
      <c r="D11" s="13" t="s">
        <v>50</v>
      </c>
      <c r="E11">
        <v>5</v>
      </c>
      <c r="G11" s="13" t="s">
        <v>49</v>
      </c>
      <c r="H11">
        <v>5</v>
      </c>
      <c r="J11" s="13" t="s">
        <v>48</v>
      </c>
      <c r="K11">
        <v>26000</v>
      </c>
    </row>
    <row r="12" spans="1:11" x14ac:dyDescent="0.35">
      <c r="A12" s="13" t="s">
        <v>51</v>
      </c>
      <c r="B12">
        <v>5</v>
      </c>
      <c r="D12" s="13" t="s">
        <v>51</v>
      </c>
      <c r="E12">
        <v>5</v>
      </c>
      <c r="G12" s="13" t="s">
        <v>50</v>
      </c>
      <c r="H12">
        <v>5</v>
      </c>
      <c r="J12" s="13" t="s">
        <v>49</v>
      </c>
      <c r="K12">
        <v>22900</v>
      </c>
    </row>
    <row r="13" spans="1:11" x14ac:dyDescent="0.35">
      <c r="A13" s="13" t="s">
        <v>52</v>
      </c>
      <c r="B13">
        <v>5</v>
      </c>
      <c r="D13" s="13" t="s">
        <v>52</v>
      </c>
      <c r="E13">
        <v>5</v>
      </c>
      <c r="G13" s="13" t="s">
        <v>51</v>
      </c>
      <c r="H13">
        <v>5</v>
      </c>
      <c r="J13" s="13" t="s">
        <v>50</v>
      </c>
      <c r="K13">
        <v>24500</v>
      </c>
    </row>
    <row r="14" spans="1:11" x14ac:dyDescent="0.35">
      <c r="A14" s="13" t="s">
        <v>53</v>
      </c>
      <c r="B14">
        <v>5</v>
      </c>
      <c r="D14" s="13" t="s">
        <v>53</v>
      </c>
      <c r="E14">
        <v>5</v>
      </c>
      <c r="G14" s="13" t="s">
        <v>52</v>
      </c>
      <c r="H14">
        <v>5</v>
      </c>
      <c r="J14" s="13" t="s">
        <v>51</v>
      </c>
      <c r="K14">
        <v>23400</v>
      </c>
    </row>
    <row r="15" spans="1:11" x14ac:dyDescent="0.35">
      <c r="A15" s="13" t="s">
        <v>54</v>
      </c>
      <c r="B15">
        <v>5</v>
      </c>
      <c r="D15" s="13" t="s">
        <v>54</v>
      </c>
      <c r="E15">
        <v>5</v>
      </c>
      <c r="G15" s="13" t="s">
        <v>53</v>
      </c>
      <c r="H15">
        <v>5</v>
      </c>
      <c r="J15" s="13" t="s">
        <v>52</v>
      </c>
      <c r="K15">
        <v>26500</v>
      </c>
    </row>
    <row r="16" spans="1:11" x14ac:dyDescent="0.35">
      <c r="A16" s="13" t="s">
        <v>43</v>
      </c>
      <c r="B16">
        <v>60</v>
      </c>
      <c r="D16" s="13" t="s">
        <v>43</v>
      </c>
      <c r="E16">
        <v>60</v>
      </c>
      <c r="G16" s="13" t="s">
        <v>54</v>
      </c>
      <c r="H16">
        <v>5</v>
      </c>
      <c r="J16" s="13" t="s">
        <v>53</v>
      </c>
      <c r="K16">
        <v>24300</v>
      </c>
    </row>
    <row r="17" spans="7:11" x14ac:dyDescent="0.35">
      <c r="G17" s="13" t="s">
        <v>43</v>
      </c>
      <c r="H17">
        <v>60</v>
      </c>
      <c r="J17" s="13" t="s">
        <v>54</v>
      </c>
      <c r="K17">
        <v>28000</v>
      </c>
    </row>
    <row r="18" spans="7:11" x14ac:dyDescent="0.35">
      <c r="J18" s="13" t="s">
        <v>43</v>
      </c>
      <c r="K18">
        <v>295000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E49D4-1F70-4AC5-8684-9444663979DC}">
  <dimension ref="A1:H61"/>
  <sheetViews>
    <sheetView workbookViewId="0">
      <selection activeCell="F9" sqref="F9"/>
    </sheetView>
  </sheetViews>
  <sheetFormatPr defaultRowHeight="14.5" x14ac:dyDescent="0.35"/>
  <cols>
    <col min="1" max="1" width="12.453125" customWidth="1"/>
    <col min="5" max="5" width="14" customWidth="1"/>
    <col min="8" max="8" width="31.1796875" customWidth="1"/>
  </cols>
  <sheetData>
    <row r="1" spans="1:8" ht="16" x14ac:dyDescent="0.4">
      <c r="A1" s="1" t="s">
        <v>0</v>
      </c>
      <c r="B1" s="2" t="s">
        <v>1</v>
      </c>
      <c r="C1" s="2" t="s">
        <v>2</v>
      </c>
      <c r="D1" s="2" t="s">
        <v>3</v>
      </c>
      <c r="E1" s="2" t="s">
        <v>4</v>
      </c>
    </row>
    <row r="2" spans="1:8" x14ac:dyDescent="0.35">
      <c r="A2" s="9">
        <v>45662</v>
      </c>
      <c r="B2" s="6" t="s">
        <v>5</v>
      </c>
      <c r="C2" s="6" t="s">
        <v>6</v>
      </c>
      <c r="D2" s="6" t="s">
        <v>7</v>
      </c>
      <c r="E2" s="6">
        <v>12000</v>
      </c>
    </row>
    <row r="3" spans="1:8" x14ac:dyDescent="0.35">
      <c r="A3" s="10">
        <v>45665</v>
      </c>
      <c r="B3" s="7" t="s">
        <v>5</v>
      </c>
      <c r="C3" s="7" t="s">
        <v>8</v>
      </c>
      <c r="D3" s="7" t="s">
        <v>9</v>
      </c>
      <c r="E3" s="7">
        <v>4200</v>
      </c>
    </row>
    <row r="4" spans="1:8" x14ac:dyDescent="0.35">
      <c r="A4" s="9">
        <v>45669</v>
      </c>
      <c r="B4" s="6" t="s">
        <v>5</v>
      </c>
      <c r="C4" s="6" t="s">
        <v>10</v>
      </c>
      <c r="D4" s="6" t="s">
        <v>11</v>
      </c>
      <c r="E4" s="6">
        <v>2800</v>
      </c>
    </row>
    <row r="5" spans="1:8" x14ac:dyDescent="0.35">
      <c r="A5" s="10">
        <v>45675</v>
      </c>
      <c r="B5" s="7" t="s">
        <v>5</v>
      </c>
      <c r="C5" s="7" t="s">
        <v>13</v>
      </c>
      <c r="D5" s="7" t="s">
        <v>14</v>
      </c>
      <c r="E5" s="7">
        <v>2300</v>
      </c>
      <c r="H5" s="3" t="s">
        <v>12</v>
      </c>
    </row>
    <row r="6" spans="1:8" x14ac:dyDescent="0.35">
      <c r="A6" s="9">
        <v>45682</v>
      </c>
      <c r="B6" s="6" t="s">
        <v>5</v>
      </c>
      <c r="C6" s="6" t="s">
        <v>15</v>
      </c>
      <c r="D6" s="6" t="s">
        <v>16</v>
      </c>
      <c r="E6" s="6">
        <v>2600</v>
      </c>
      <c r="H6" s="4">
        <f>SUM(E3:E62)</f>
        <v>283001</v>
      </c>
    </row>
    <row r="7" spans="1:8" x14ac:dyDescent="0.35">
      <c r="A7" s="10">
        <v>45693</v>
      </c>
      <c r="B7" s="7" t="s">
        <v>17</v>
      </c>
      <c r="C7" s="7" t="s">
        <v>6</v>
      </c>
      <c r="D7" s="7" t="s">
        <v>7</v>
      </c>
      <c r="E7" s="7">
        <v>12000</v>
      </c>
    </row>
    <row r="8" spans="1:8" x14ac:dyDescent="0.35">
      <c r="A8" s="9">
        <v>45697</v>
      </c>
      <c r="B8" s="6" t="s">
        <v>17</v>
      </c>
      <c r="C8" s="6" t="s">
        <v>8</v>
      </c>
      <c r="D8" s="6" t="s">
        <v>9</v>
      </c>
      <c r="E8" s="6">
        <v>5100</v>
      </c>
    </row>
    <row r="9" spans="1:8" x14ac:dyDescent="0.35">
      <c r="A9" s="10">
        <v>45700</v>
      </c>
      <c r="B9" s="7" t="s">
        <v>17</v>
      </c>
      <c r="C9" s="7" t="s">
        <v>10</v>
      </c>
      <c r="D9" s="7" t="s">
        <v>11</v>
      </c>
      <c r="E9" s="7">
        <v>3200</v>
      </c>
    </row>
    <row r="10" spans="1:8" x14ac:dyDescent="0.35">
      <c r="A10" s="9">
        <v>45706</v>
      </c>
      <c r="B10" s="6" t="s">
        <v>17</v>
      </c>
      <c r="C10" s="6" t="s">
        <v>13</v>
      </c>
      <c r="D10" s="6" t="s">
        <v>14</v>
      </c>
      <c r="E10" s="6">
        <v>1900</v>
      </c>
      <c r="H10" s="2" t="s">
        <v>18</v>
      </c>
    </row>
    <row r="11" spans="1:8" x14ac:dyDescent="0.35">
      <c r="A11" s="10">
        <v>45712</v>
      </c>
      <c r="B11" s="7" t="s">
        <v>17</v>
      </c>
      <c r="C11" s="7" t="s">
        <v>15</v>
      </c>
      <c r="D11" s="7" t="s">
        <v>19</v>
      </c>
      <c r="E11" s="7">
        <v>2400</v>
      </c>
      <c r="H11" s="4">
        <f>SUMIF(C:C,"food",E:E)</f>
        <v>55800</v>
      </c>
    </row>
    <row r="12" spans="1:8" x14ac:dyDescent="0.35">
      <c r="A12" s="9">
        <v>45721</v>
      </c>
      <c r="B12" s="6" t="s">
        <v>20</v>
      </c>
      <c r="C12" s="6" t="s">
        <v>6</v>
      </c>
      <c r="D12" s="6" t="s">
        <v>7</v>
      </c>
      <c r="E12" s="6">
        <v>12000</v>
      </c>
    </row>
    <row r="13" spans="1:8" x14ac:dyDescent="0.35">
      <c r="A13" s="10">
        <v>45724</v>
      </c>
      <c r="B13" s="7" t="s">
        <v>20</v>
      </c>
      <c r="C13" s="7" t="s">
        <v>8</v>
      </c>
      <c r="D13" s="7" t="s">
        <v>9</v>
      </c>
      <c r="E13" s="7">
        <v>3900</v>
      </c>
    </row>
    <row r="14" spans="1:8" x14ac:dyDescent="0.35">
      <c r="A14" s="9">
        <v>45730</v>
      </c>
      <c r="B14" s="6" t="s">
        <v>20</v>
      </c>
      <c r="C14" s="6" t="s">
        <v>10</v>
      </c>
      <c r="D14" s="6" t="s">
        <v>22</v>
      </c>
      <c r="E14" s="6">
        <v>2600</v>
      </c>
      <c r="H14" s="2" t="s">
        <v>21</v>
      </c>
    </row>
    <row r="15" spans="1:8" x14ac:dyDescent="0.35">
      <c r="A15" s="10">
        <v>45736</v>
      </c>
      <c r="B15" s="7" t="s">
        <v>20</v>
      </c>
      <c r="C15" s="7" t="s">
        <v>13</v>
      </c>
      <c r="D15" s="7" t="s">
        <v>23</v>
      </c>
      <c r="E15" s="7">
        <v>1500</v>
      </c>
      <c r="H15" s="4">
        <f>AVERAGE(E3:E62)</f>
        <v>4796.6271186440681</v>
      </c>
    </row>
    <row r="16" spans="1:8" x14ac:dyDescent="0.35">
      <c r="A16" s="9">
        <v>45742</v>
      </c>
      <c r="B16" s="6" t="s">
        <v>20</v>
      </c>
      <c r="C16" s="6" t="s">
        <v>15</v>
      </c>
      <c r="D16" s="6" t="s">
        <v>16</v>
      </c>
      <c r="E16" s="6">
        <v>2300</v>
      </c>
    </row>
    <row r="17" spans="1:8" x14ac:dyDescent="0.35">
      <c r="A17" s="10">
        <v>45752</v>
      </c>
      <c r="B17" s="7" t="s">
        <v>24</v>
      </c>
      <c r="C17" s="7" t="s">
        <v>6</v>
      </c>
      <c r="D17" s="7" t="s">
        <v>7</v>
      </c>
      <c r="E17" s="7">
        <v>12000</v>
      </c>
    </row>
    <row r="18" spans="1:8" x14ac:dyDescent="0.35">
      <c r="A18" s="9">
        <v>45756</v>
      </c>
      <c r="B18" s="6" t="s">
        <v>24</v>
      </c>
      <c r="C18" s="6" t="s">
        <v>8</v>
      </c>
      <c r="D18" s="6" t="s">
        <v>9</v>
      </c>
      <c r="E18" s="6">
        <v>4500</v>
      </c>
      <c r="H18" s="5" t="s">
        <v>25</v>
      </c>
    </row>
    <row r="19" spans="1:8" x14ac:dyDescent="0.35">
      <c r="A19" s="10">
        <v>45760</v>
      </c>
      <c r="B19" s="7" t="s">
        <v>24</v>
      </c>
      <c r="C19" s="7" t="s">
        <v>10</v>
      </c>
      <c r="D19" s="7" t="s">
        <v>26</v>
      </c>
      <c r="E19" s="7">
        <v>3000</v>
      </c>
      <c r="H19" s="4">
        <f>SUMIF(B:B,"January",E:E)</f>
        <v>23900</v>
      </c>
    </row>
    <row r="20" spans="1:8" x14ac:dyDescent="0.35">
      <c r="A20" s="9">
        <v>45766</v>
      </c>
      <c r="B20" s="6" t="s">
        <v>24</v>
      </c>
      <c r="C20" s="6" t="s">
        <v>13</v>
      </c>
      <c r="D20" s="6" t="s">
        <v>14</v>
      </c>
      <c r="E20" s="6">
        <v>2200</v>
      </c>
    </row>
    <row r="21" spans="1:8" x14ac:dyDescent="0.35">
      <c r="A21" s="10">
        <v>45772</v>
      </c>
      <c r="B21" s="7" t="s">
        <v>24</v>
      </c>
      <c r="C21" s="7" t="s">
        <v>15</v>
      </c>
      <c r="D21" s="7" t="s">
        <v>16</v>
      </c>
      <c r="E21" s="7">
        <v>2500</v>
      </c>
    </row>
    <row r="22" spans="1:8" x14ac:dyDescent="0.35">
      <c r="A22" s="9">
        <v>45782</v>
      </c>
      <c r="B22" s="6" t="s">
        <v>28</v>
      </c>
      <c r="C22" s="6" t="s">
        <v>6</v>
      </c>
      <c r="D22" s="6" t="s">
        <v>7</v>
      </c>
      <c r="E22" s="6">
        <v>12000</v>
      </c>
      <c r="H22" s="5" t="s">
        <v>27</v>
      </c>
    </row>
    <row r="23" spans="1:8" x14ac:dyDescent="0.35">
      <c r="A23" s="10">
        <v>45785</v>
      </c>
      <c r="B23" s="7" t="s">
        <v>28</v>
      </c>
      <c r="C23" s="7" t="s">
        <v>8</v>
      </c>
      <c r="D23" s="7" t="s">
        <v>9</v>
      </c>
      <c r="E23" s="7">
        <v>4800</v>
      </c>
      <c r="H23" s="4">
        <f>SUMIFS(E:E,B:B,"January",C:C,"Food")</f>
        <v>4200</v>
      </c>
    </row>
    <row r="24" spans="1:8" x14ac:dyDescent="0.35">
      <c r="A24" s="9">
        <v>45791</v>
      </c>
      <c r="B24" s="6" t="s">
        <v>28</v>
      </c>
      <c r="C24" s="6" t="s">
        <v>10</v>
      </c>
      <c r="D24" s="6" t="s">
        <v>26</v>
      </c>
      <c r="E24" s="6">
        <v>2900</v>
      </c>
    </row>
    <row r="25" spans="1:8" x14ac:dyDescent="0.35">
      <c r="A25" s="10">
        <v>45797</v>
      </c>
      <c r="B25" s="7" t="s">
        <v>28</v>
      </c>
      <c r="C25" s="7" t="s">
        <v>13</v>
      </c>
      <c r="D25" s="7" t="s">
        <v>29</v>
      </c>
      <c r="E25" s="7">
        <v>2100</v>
      </c>
    </row>
    <row r="26" spans="1:8" x14ac:dyDescent="0.35">
      <c r="A26" s="9">
        <v>45803</v>
      </c>
      <c r="B26" s="6" t="s">
        <v>28</v>
      </c>
      <c r="C26" s="6" t="s">
        <v>15</v>
      </c>
      <c r="D26" s="6" t="s">
        <v>16</v>
      </c>
      <c r="E26" s="6">
        <v>2600</v>
      </c>
    </row>
    <row r="27" spans="1:8" x14ac:dyDescent="0.35">
      <c r="A27" s="10">
        <v>45813</v>
      </c>
      <c r="B27" s="7" t="s">
        <v>30</v>
      </c>
      <c r="C27" s="7" t="s">
        <v>6</v>
      </c>
      <c r="D27" s="7" t="s">
        <v>7</v>
      </c>
      <c r="E27" s="7">
        <v>12000</v>
      </c>
    </row>
    <row r="28" spans="1:8" x14ac:dyDescent="0.35">
      <c r="A28" s="9">
        <v>45817</v>
      </c>
      <c r="B28" s="6" t="s">
        <v>30</v>
      </c>
      <c r="C28" s="6" t="s">
        <v>8</v>
      </c>
      <c r="D28" s="6" t="s">
        <v>9</v>
      </c>
      <c r="E28" s="6">
        <v>5200</v>
      </c>
      <c r="H28" s="5" t="s">
        <v>31</v>
      </c>
    </row>
    <row r="29" spans="1:8" x14ac:dyDescent="0.35">
      <c r="A29" s="10">
        <v>45821</v>
      </c>
      <c r="B29" s="7" t="s">
        <v>30</v>
      </c>
      <c r="C29" s="7" t="s">
        <v>10</v>
      </c>
      <c r="D29" s="7" t="s">
        <v>26</v>
      </c>
      <c r="E29" s="7">
        <v>3300</v>
      </c>
      <c r="H29" s="4">
        <f>AVERAGEIF(B:B,"January",E:E)</f>
        <v>4780</v>
      </c>
    </row>
    <row r="30" spans="1:8" x14ac:dyDescent="0.35">
      <c r="A30" s="9">
        <v>45826</v>
      </c>
      <c r="B30" s="6" t="s">
        <v>30</v>
      </c>
      <c r="C30" s="6" t="s">
        <v>13</v>
      </c>
      <c r="D30" s="6" t="s">
        <v>32</v>
      </c>
      <c r="E30" s="6">
        <v>2800</v>
      </c>
    </row>
    <row r="31" spans="1:8" x14ac:dyDescent="0.35">
      <c r="A31" s="10">
        <v>45833</v>
      </c>
      <c r="B31" s="7" t="s">
        <v>30</v>
      </c>
      <c r="C31" s="7" t="s">
        <v>15</v>
      </c>
      <c r="D31" s="7" t="s">
        <v>16</v>
      </c>
      <c r="E31" s="7">
        <v>2700</v>
      </c>
    </row>
    <row r="32" spans="1:8" x14ac:dyDescent="0.35">
      <c r="A32" s="9">
        <v>45843</v>
      </c>
      <c r="B32" s="6" t="s">
        <v>33</v>
      </c>
      <c r="C32" s="6" t="s">
        <v>6</v>
      </c>
      <c r="D32" s="6" t="s">
        <v>7</v>
      </c>
      <c r="E32" s="6">
        <v>12000</v>
      </c>
    </row>
    <row r="33" spans="1:5" x14ac:dyDescent="0.35">
      <c r="A33" s="10">
        <v>45846</v>
      </c>
      <c r="B33" s="7" t="s">
        <v>33</v>
      </c>
      <c r="C33" s="7" t="s">
        <v>8</v>
      </c>
      <c r="D33" s="7" t="s">
        <v>9</v>
      </c>
      <c r="E33" s="7">
        <v>4100</v>
      </c>
    </row>
    <row r="34" spans="1:5" x14ac:dyDescent="0.35">
      <c r="A34" s="9">
        <v>45850</v>
      </c>
      <c r="B34" s="6" t="s">
        <v>33</v>
      </c>
      <c r="C34" s="6" t="s">
        <v>10</v>
      </c>
      <c r="D34" s="6" t="s">
        <v>22</v>
      </c>
      <c r="E34" s="6">
        <v>2600</v>
      </c>
    </row>
    <row r="35" spans="1:5" x14ac:dyDescent="0.35">
      <c r="A35" s="10">
        <v>45857</v>
      </c>
      <c r="B35" s="7" t="s">
        <v>33</v>
      </c>
      <c r="C35" s="7" t="s">
        <v>13</v>
      </c>
      <c r="D35" s="7" t="s">
        <v>14</v>
      </c>
      <c r="E35" s="7">
        <v>1800</v>
      </c>
    </row>
    <row r="36" spans="1:5" x14ac:dyDescent="0.35">
      <c r="A36" s="9">
        <v>45864</v>
      </c>
      <c r="B36" s="6" t="s">
        <v>33</v>
      </c>
      <c r="C36" s="6" t="s">
        <v>15</v>
      </c>
      <c r="D36" s="6" t="s">
        <v>16</v>
      </c>
      <c r="E36" s="6">
        <v>2400</v>
      </c>
    </row>
    <row r="37" spans="1:5" x14ac:dyDescent="0.35">
      <c r="A37" s="10">
        <v>45874</v>
      </c>
      <c r="B37" s="7" t="s">
        <v>34</v>
      </c>
      <c r="C37" s="7" t="s">
        <v>6</v>
      </c>
      <c r="D37" s="7" t="s">
        <v>7</v>
      </c>
      <c r="E37" s="7">
        <v>12000</v>
      </c>
    </row>
    <row r="38" spans="1:5" x14ac:dyDescent="0.35">
      <c r="A38" s="9">
        <v>45878</v>
      </c>
      <c r="B38" s="6" t="s">
        <v>34</v>
      </c>
      <c r="C38" s="6" t="s">
        <v>8</v>
      </c>
      <c r="D38" s="6" t="s">
        <v>9</v>
      </c>
      <c r="E38" s="6">
        <v>4700</v>
      </c>
    </row>
    <row r="39" spans="1:5" x14ac:dyDescent="0.35">
      <c r="A39" s="10">
        <v>45883</v>
      </c>
      <c r="B39" s="7" t="s">
        <v>34</v>
      </c>
      <c r="C39" s="7" t="s">
        <v>10</v>
      </c>
      <c r="D39" s="7" t="s">
        <v>26</v>
      </c>
      <c r="E39" s="7">
        <v>3100</v>
      </c>
    </row>
    <row r="40" spans="1:5" x14ac:dyDescent="0.35">
      <c r="A40" s="9">
        <v>45889</v>
      </c>
      <c r="B40" s="6" t="s">
        <v>34</v>
      </c>
      <c r="C40" s="6" t="s">
        <v>13</v>
      </c>
      <c r="D40" s="6" t="s">
        <v>29</v>
      </c>
      <c r="E40" s="6">
        <v>2200</v>
      </c>
    </row>
    <row r="41" spans="1:5" x14ac:dyDescent="0.35">
      <c r="A41" s="10">
        <v>45895</v>
      </c>
      <c r="B41" s="7" t="s">
        <v>34</v>
      </c>
      <c r="C41" s="7" t="s">
        <v>15</v>
      </c>
      <c r="D41" s="7" t="s">
        <v>16</v>
      </c>
      <c r="E41" s="7">
        <v>2500</v>
      </c>
    </row>
    <row r="42" spans="1:5" x14ac:dyDescent="0.35">
      <c r="A42" s="9">
        <v>45905</v>
      </c>
      <c r="B42" s="6" t="s">
        <v>35</v>
      </c>
      <c r="C42" s="6" t="s">
        <v>6</v>
      </c>
      <c r="D42" s="6" t="s">
        <v>7</v>
      </c>
      <c r="E42" s="6">
        <v>12000</v>
      </c>
    </row>
    <row r="43" spans="1:5" x14ac:dyDescent="0.35">
      <c r="A43" s="10">
        <v>45908</v>
      </c>
      <c r="B43" s="7" t="s">
        <v>35</v>
      </c>
      <c r="C43" s="7" t="s">
        <v>8</v>
      </c>
      <c r="D43" s="7" t="s">
        <v>9</v>
      </c>
      <c r="E43" s="7">
        <v>4300</v>
      </c>
    </row>
    <row r="44" spans="1:5" x14ac:dyDescent="0.35">
      <c r="A44" s="9">
        <v>45913</v>
      </c>
      <c r="B44" s="6" t="s">
        <v>35</v>
      </c>
      <c r="C44" s="6" t="s">
        <v>10</v>
      </c>
      <c r="D44" s="6" t="s">
        <v>22</v>
      </c>
      <c r="E44" s="6">
        <v>2700</v>
      </c>
    </row>
    <row r="45" spans="1:5" x14ac:dyDescent="0.35">
      <c r="A45" s="10">
        <v>45918</v>
      </c>
      <c r="B45" s="7" t="s">
        <v>35</v>
      </c>
      <c r="C45" s="7" t="s">
        <v>13</v>
      </c>
      <c r="D45" s="7" t="s">
        <v>23</v>
      </c>
      <c r="E45" s="7">
        <v>2000</v>
      </c>
    </row>
    <row r="46" spans="1:5" x14ac:dyDescent="0.35">
      <c r="A46" s="9">
        <v>45925</v>
      </c>
      <c r="B46" s="6" t="s">
        <v>35</v>
      </c>
      <c r="C46" s="6" t="s">
        <v>15</v>
      </c>
      <c r="D46" s="6" t="s">
        <v>16</v>
      </c>
      <c r="E46" s="6">
        <v>2400</v>
      </c>
    </row>
    <row r="47" spans="1:5" x14ac:dyDescent="0.35">
      <c r="A47" s="10">
        <v>45935</v>
      </c>
      <c r="B47" s="7" t="s">
        <v>36</v>
      </c>
      <c r="C47" s="7" t="s">
        <v>6</v>
      </c>
      <c r="D47" s="7" t="s">
        <v>7</v>
      </c>
      <c r="E47" s="7">
        <v>12000</v>
      </c>
    </row>
    <row r="48" spans="1:5" x14ac:dyDescent="0.35">
      <c r="A48" s="9">
        <v>45939</v>
      </c>
      <c r="B48" s="6" t="s">
        <v>36</v>
      </c>
      <c r="C48" s="6" t="s">
        <v>8</v>
      </c>
      <c r="D48" s="6" t="s">
        <v>9</v>
      </c>
      <c r="E48" s="6">
        <v>5000</v>
      </c>
    </row>
    <row r="49" spans="1:5" x14ac:dyDescent="0.35">
      <c r="A49" s="10">
        <v>45944</v>
      </c>
      <c r="B49" s="7" t="s">
        <v>36</v>
      </c>
      <c r="C49" s="7" t="s">
        <v>10</v>
      </c>
      <c r="D49" s="7" t="s">
        <v>26</v>
      </c>
      <c r="E49" s="7">
        <v>3200</v>
      </c>
    </row>
    <row r="50" spans="1:5" x14ac:dyDescent="0.35">
      <c r="A50" s="9">
        <v>45950</v>
      </c>
      <c r="B50" s="6" t="s">
        <v>36</v>
      </c>
      <c r="C50" s="6" t="s">
        <v>13</v>
      </c>
      <c r="D50" s="6" t="s">
        <v>37</v>
      </c>
      <c r="E50" s="6">
        <v>3500</v>
      </c>
    </row>
    <row r="51" spans="1:5" x14ac:dyDescent="0.35">
      <c r="A51" s="10">
        <v>45956</v>
      </c>
      <c r="B51" s="7" t="s">
        <v>36</v>
      </c>
      <c r="C51" s="7" t="s">
        <v>15</v>
      </c>
      <c r="D51" s="7" t="s">
        <v>16</v>
      </c>
      <c r="E51" s="7">
        <v>2800</v>
      </c>
    </row>
    <row r="52" spans="1:5" x14ac:dyDescent="0.35">
      <c r="A52" s="9">
        <v>45966</v>
      </c>
      <c r="B52" s="6" t="s">
        <v>38</v>
      </c>
      <c r="C52" s="6" t="s">
        <v>6</v>
      </c>
      <c r="D52" s="6" t="s">
        <v>7</v>
      </c>
      <c r="E52" s="6">
        <v>12000</v>
      </c>
    </row>
    <row r="53" spans="1:5" x14ac:dyDescent="0.35">
      <c r="A53" s="10">
        <v>45969</v>
      </c>
      <c r="B53" s="7" t="s">
        <v>38</v>
      </c>
      <c r="C53" s="7" t="s">
        <v>8</v>
      </c>
      <c r="D53" s="7" t="s">
        <v>9</v>
      </c>
      <c r="E53" s="7">
        <v>4600</v>
      </c>
    </row>
    <row r="54" spans="1:5" x14ac:dyDescent="0.35">
      <c r="A54" s="9">
        <v>45974</v>
      </c>
      <c r="B54" s="6" t="s">
        <v>38</v>
      </c>
      <c r="C54" s="6" t="s">
        <v>10</v>
      </c>
      <c r="D54" s="6" t="s">
        <v>26</v>
      </c>
      <c r="E54" s="6">
        <v>3000</v>
      </c>
    </row>
    <row r="55" spans="1:5" x14ac:dyDescent="0.35">
      <c r="A55" s="10">
        <v>45980</v>
      </c>
      <c r="B55" s="7" t="s">
        <v>38</v>
      </c>
      <c r="C55" s="7" t="s">
        <v>13</v>
      </c>
      <c r="D55" s="7" t="s">
        <v>14</v>
      </c>
      <c r="E55" s="7">
        <v>2100</v>
      </c>
    </row>
    <row r="56" spans="1:5" x14ac:dyDescent="0.35">
      <c r="A56" s="9">
        <v>45986</v>
      </c>
      <c r="B56" s="6" t="s">
        <v>38</v>
      </c>
      <c r="C56" s="6" t="s">
        <v>15</v>
      </c>
      <c r="D56" s="6" t="s">
        <v>16</v>
      </c>
      <c r="E56" s="6">
        <v>2600</v>
      </c>
    </row>
    <row r="57" spans="1:5" x14ac:dyDescent="0.35">
      <c r="A57" s="10">
        <v>45996</v>
      </c>
      <c r="B57" s="7" t="s">
        <v>39</v>
      </c>
      <c r="C57" s="7" t="s">
        <v>6</v>
      </c>
      <c r="D57" s="7" t="s">
        <v>7</v>
      </c>
      <c r="E57" s="7">
        <v>12000</v>
      </c>
    </row>
    <row r="58" spans="1:5" x14ac:dyDescent="0.35">
      <c r="A58" s="9">
        <v>46000</v>
      </c>
      <c r="B58" s="6" t="s">
        <v>39</v>
      </c>
      <c r="C58" s="6" t="s">
        <v>8</v>
      </c>
      <c r="D58" s="6" t="s">
        <v>9</v>
      </c>
      <c r="E58" s="6">
        <v>5400</v>
      </c>
    </row>
    <row r="59" spans="1:5" x14ac:dyDescent="0.35">
      <c r="A59" s="10">
        <v>46005</v>
      </c>
      <c r="B59" s="7" t="s">
        <v>39</v>
      </c>
      <c r="C59" s="7" t="s">
        <v>10</v>
      </c>
      <c r="D59" s="7" t="s">
        <v>40</v>
      </c>
      <c r="E59" s="7">
        <v>3600</v>
      </c>
    </row>
    <row r="60" spans="1:5" x14ac:dyDescent="0.35">
      <c r="A60" s="9">
        <v>46011</v>
      </c>
      <c r="B60" s="6" t="s">
        <v>39</v>
      </c>
      <c r="C60" s="6" t="s">
        <v>13</v>
      </c>
      <c r="D60" s="6" t="s">
        <v>41</v>
      </c>
      <c r="E60" s="6">
        <v>4000</v>
      </c>
    </row>
    <row r="61" spans="1:5" x14ac:dyDescent="0.35">
      <c r="A61" s="11">
        <v>46017</v>
      </c>
      <c r="B61" s="8" t="s">
        <v>39</v>
      </c>
      <c r="C61" s="8" t="s">
        <v>15</v>
      </c>
      <c r="D61" s="8" t="s">
        <v>16</v>
      </c>
      <c r="E61" s="8">
        <v>3001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DA192-F251-4D5B-85FF-3D6B9BAED898}">
  <dimension ref="A1"/>
  <sheetViews>
    <sheetView tabSelected="1" workbookViewId="0">
      <selection activeCell="M10" sqref="M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Sheet3</vt:lpstr>
      <vt:lpstr>Sheet2</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SHAIK CHASHMA</cp:lastModifiedBy>
  <dcterms:created xsi:type="dcterms:W3CDTF">2026-01-20T04:18:20Z</dcterms:created>
  <dcterms:modified xsi:type="dcterms:W3CDTF">2026-01-27T14:02:43Z</dcterms:modified>
</cp:coreProperties>
</file>